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enários" sheetId="2" state="visible" r:id="rId4"/>
    <sheet name="Exploratórias" sheetId="3" state="visible" r:id="rId5"/>
  </sheets>
  <definedNames>
    <definedName function="false" hidden="false" localSheetId="1" name="_xlnm.Print_Titles" vbProcedure="false">Cenários!$1:$1</definedName>
    <definedName function="false" hidden="true" localSheetId="1" name="_xlnm._FilterDatabase" vbProcedure="false">Cenários!$A$1:$K$49</definedName>
    <definedName function="false" hidden="true" localSheetId="2" name="_xlnm._FilterDatabase" vbProcedure="false">Exploratórias!$A$1:$H$57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<sst xmlns="http://schemas.openxmlformats.org/spreadsheetml/2006/main" count="778" uniqueCount="413">
  <si>
    <t xml:space="preserve">Teste técnico QA Jr – Verzel Store (VZS-142 v2.3.0)</t>
  </si>
  <si>
    <t xml:space="preserve">Painel de acompanhamento – todos os números são fórmulas sobre as abas Cenários e Exploratórias.</t>
  </si>
  <si>
    <t xml:space="preserve">Cenários por status</t>
  </si>
  <si>
    <t xml:space="preserve">Qtd</t>
  </si>
  <si>
    <t xml:space="preserve">% do total</t>
  </si>
  <si>
    <t xml:space="preserve">Como preencher</t>
  </si>
  <si>
    <t xml:space="preserve">Total de cenários</t>
  </si>
  <si>
    <t xml:space="preserve">EXECUÇÃO MANUAL = aba Exploratórias (um cartão do PPT por linha). A aba Cenários é coberta pela automação (Playwright): use-a como rastreabilidade.</t>
  </si>
  <si>
    <t xml:space="preserve">Passou</t>
  </si>
  <si>
    <t xml:space="preserve">Edite apenas as colunas de cabeçalho dourado: Status, Resultado/achado e Bug (Exploratórias) e Obtido, Status, Evidência e Bug (Cenários).</t>
  </si>
  <si>
    <t xml:space="preserve">Falhou</t>
  </si>
  <si>
    <t xml:space="preserve">Status: use a lista (Pendente / Passou / Falhou). Exploratórias: Pendente / Sem achados / Bug encontrado.</t>
  </si>
  <si>
    <t xml:space="preserve">Pendente</t>
  </si>
  <si>
    <t xml:space="preserve">Exemplo de preenchimento: linhas CT-U23 e CT-U24 (Obtido + Status "Passou"; falta anexar o print em docs/evidencias/screenshots/).</t>
  </si>
  <si>
    <t xml:space="preserve">Executados (Passou + Falhou)</t>
  </si>
  <si>
    <t xml:space="preserve">Print: nome do arquivo indicado na coluna (ex.: EX-U1-01.png) em docs/evidencias/screenshots/. Bug: ID de docs/BUGS.md (ex.: BUG-01). UI = navegador; API = Bruno.</t>
  </si>
  <si>
    <t xml:space="preserve">Esperado, Camada e Regra vêm da documentação VZS-142 – só altere se a documentação mudar.</t>
  </si>
  <si>
    <t xml:space="preserve">Cenários por camada</t>
  </si>
  <si>
    <t xml:space="preserve">Automação / Spec: ligação com tests/ do repositório (Sim, Parcial, Não). CT-U20 aguarda o HTML de /checkout.</t>
  </si>
  <si>
    <t xml:space="preserve">API (inclui API/UI)</t>
  </si>
  <si>
    <t xml:space="preserve">Premissa: este arquivo substitui docs/CENARIOS.md. IDs repetidos no .md original foram consolidados (CT-U25 é novo).</t>
  </si>
  <si>
    <t xml:space="preserve">UI (inclui API/UI)</t>
  </si>
  <si>
    <t xml:space="preserve">Automação Playwright</t>
  </si>
  <si>
    <t xml:space="preserve">Automatizados</t>
  </si>
  <si>
    <t xml:space="preserve">Parcialmente</t>
  </si>
  <si>
    <t xml:space="preserve">Não automatizados (manual/pendente)</t>
  </si>
  <si>
    <t xml:space="preserve">Exploratórias (execução manual)</t>
  </si>
  <si>
    <t xml:space="preserve">Total de evidências</t>
  </si>
  <si>
    <t xml:space="preserve">Sem achados</t>
  </si>
  <si>
    <t xml:space="preserve">Bug encontrado</t>
  </si>
  <si>
    <t xml:space="preserve">Evidências de UI</t>
  </si>
  <si>
    <t xml:space="preserve">Evidências de API</t>
  </si>
  <si>
    <t xml:space="preserve">ID</t>
  </si>
  <si>
    <t xml:space="preserve">Regra</t>
  </si>
  <si>
    <t xml:space="preserve">Cenário</t>
  </si>
  <si>
    <t xml:space="preserve">Camada</t>
  </si>
  <si>
    <t xml:space="preserve">Esperado</t>
  </si>
  <si>
    <t xml:space="preserve">Obtido</t>
  </si>
  <si>
    <t xml:space="preserve">Status</t>
  </si>
  <si>
    <t xml:space="preserve">Evidência</t>
  </si>
  <si>
    <t xml:space="preserve">Bug</t>
  </si>
  <si>
    <t xml:space="preserve">Automação</t>
  </si>
  <si>
    <t xml:space="preserve">Spec Playwright</t>
  </si>
  <si>
    <t xml:space="preserve">CT-01</t>
  </si>
  <si>
    <t xml:space="preserve">CA01</t>
  </si>
  <si>
    <t xml:space="preserve">BEMVINDO10 em P002x1 + P004x2</t>
  </si>
  <si>
    <t xml:space="preserve">API/UI</t>
  </si>
  <si>
    <t xml:space="preserve">subtotal 239,70; desconto 23,97; frete 0; total 215,73</t>
  </si>
  <si>
    <t xml:space="preserve">Sim</t>
  </si>
  <si>
    <t xml:space="preserve">calcular.spec.ts · carrinho-calculo.spec.ts</t>
  </si>
  <si>
    <t xml:space="preserve">CT-02</t>
  </si>
  <si>
    <t xml:space="preserve">CA02</t>
  </si>
  <si>
    <t xml:space="preserve">Cupom em minúsculas/misto (bemvindo10, BemVindo10)</t>
  </si>
  <si>
    <t xml:space="preserve">desconto de 10% aplicado</t>
  </si>
  <si>
    <t xml:space="preserve">calcular.spec.ts · carrinho-cupom.spec.ts</t>
  </si>
  <si>
    <t xml:space="preserve">CT-03</t>
  </si>
  <si>
    <t xml:space="preserve">Cupom com espaços nas pontas ("  BEMVINDO10  ")</t>
  </si>
  <si>
    <t xml:space="preserve">CT-04</t>
  </si>
  <si>
    <t xml:space="preserve">CA03</t>
  </si>
  <si>
    <t xml:space="preserve">Cupom inexistente (XPTO99)</t>
  </si>
  <si>
    <t xml:space="preserve">"Cupom inválido."; desconto 0</t>
  </si>
  <si>
    <t xml:space="preserve">CT-05</t>
  </si>
  <si>
    <t xml:space="preserve">CA04</t>
  </si>
  <si>
    <t xml:space="preserve">Cupom expirado (VERAO2026)</t>
  </si>
  <si>
    <t xml:space="preserve">"Cupom expirado."; desconto 0</t>
  </si>
  <si>
    <t xml:space="preserve">CT-06</t>
  </si>
  <si>
    <t xml:space="preserve">CA07</t>
  </si>
  <si>
    <t xml:space="preserve">P005x1 sem cupom</t>
  </si>
  <si>
    <t xml:space="preserve">frete 19,90; faltam 100,00; total 119,90</t>
  </si>
  <si>
    <t xml:space="preserve">CT-07</t>
  </si>
  <si>
    <t xml:space="preserve">CA06</t>
  </si>
  <si>
    <t xml:space="preserve">P005x2 = 200,00 exato</t>
  </si>
  <si>
    <t xml:space="preserve">frete 0; frete grátis; total 200,00</t>
  </si>
  <si>
    <t xml:space="preserve">CT-08</t>
  </si>
  <si>
    <t xml:space="preserve">P003x1 = 189,90</t>
  </si>
  <si>
    <t xml:space="preserve">frete 19,90; faltam 10,10; total 209,80</t>
  </si>
  <si>
    <t xml:space="preserve">CT-09</t>
  </si>
  <si>
    <t xml:space="preserve">CA06/07</t>
  </si>
  <si>
    <t xml:space="preserve">P001x1 + P002x1 = 199,80</t>
  </si>
  <si>
    <t xml:space="preserve">API</t>
  </si>
  <si>
    <t xml:space="preserve">frete 19,90; faltam 0,20; total 219,70</t>
  </si>
  <si>
    <t xml:space="preserve">CT-10</t>
  </si>
  <si>
    <t xml:space="preserve">CA08</t>
  </si>
  <si>
    <t xml:space="preserve">P005x2 + BEMVINDO10 (subtotal 200 → desconto 20)</t>
  </si>
  <si>
    <t xml:space="preserve">frete 0 (usa subtotal pré-desconto); total 180,00</t>
  </si>
  <si>
    <t xml:space="preserve">CT-11</t>
  </si>
  <si>
    <t xml:space="preserve">CA09</t>
  </si>
  <si>
    <t xml:space="preserve">P005x1 + BEMVINDO10</t>
  </si>
  <si>
    <t xml:space="preserve">desconto 10,00; frete 19,90; total 109,90</t>
  </si>
  <si>
    <t xml:space="preserve">CT-12</t>
  </si>
  <si>
    <t xml:space="preserve">CA11</t>
  </si>
  <si>
    <t xml:space="preserve">P001x3 + BEMVINDO10 (59,90×3)</t>
  </si>
  <si>
    <t xml:space="preserve">subtotal 179,70; desconto 17,97; frete 19,90; faltam 20,30; total 181,63</t>
  </si>
  <si>
    <t xml:space="preserve">CT-13</t>
  </si>
  <si>
    <t xml:space="preserve">CA10</t>
  </si>
  <si>
    <t xml:space="preserve">P004x5 (limite)</t>
  </si>
  <si>
    <t xml:space="preserve">aceito; subtotal 249,50; frete 0</t>
  </si>
  <si>
    <t xml:space="preserve">CT-14</t>
  </si>
  <si>
    <t xml:space="preserve">P004x6</t>
  </si>
  <si>
    <t xml:space="preserve">422 QUANTIDADE_MAXIMA_EXCEDIDA (API); UI impede</t>
  </si>
  <si>
    <t xml:space="preserve">calcular.spec.ts · pedidos.spec.ts · carrinho-itens.spec.ts · vitrine.spec.ts</t>
  </si>
  <si>
    <t xml:space="preserve">CT-15</t>
  </si>
  <si>
    <t xml:space="preserve">–</t>
  </si>
  <si>
    <t xml:space="preserve">Quantidade 0, -1, 1.5</t>
  </si>
  <si>
    <t xml:space="preserve">422 QUANTIDADE_INVALIDA</t>
  </si>
  <si>
    <t xml:space="preserve">calcular.spec.ts</t>
  </si>
  <si>
    <t xml:space="preserve">CT-16</t>
  </si>
  <si>
    <t xml:space="preserve">itens ausente / vazio</t>
  </si>
  <si>
    <t xml:space="preserve">422 ITENS_OBRIGATORIOS</t>
  </si>
  <si>
    <t xml:space="preserve">CT-17</t>
  </si>
  <si>
    <t xml:space="preserve">Produto inexistente (P999)</t>
  </si>
  <si>
    <t xml:space="preserve">422 PRODUTO_NAO_ENCONTRADO</t>
  </si>
  <si>
    <t xml:space="preserve">CT-18</t>
  </si>
  <si>
    <t xml:space="preserve">Produto repetido na lista</t>
  </si>
  <si>
    <t xml:space="preserve">422 ITEM_DUPLICADO</t>
  </si>
  <si>
    <t xml:space="preserve">CT-19</t>
  </si>
  <si>
    <t xml:space="preserve">Corpo não-JSON</t>
  </si>
  <si>
    <t xml:space="preserve">400 JSON_INVALIDO</t>
  </si>
  <si>
    <t xml:space="preserve">produtos-e-rotas.spec.ts</t>
  </si>
  <si>
    <t xml:space="preserve">CT-20</t>
  </si>
  <si>
    <t xml:space="preserve">GET /api/produtos</t>
  </si>
  <si>
    <t xml:space="preserve">200; 8 produtos</t>
  </si>
  <si>
    <t xml:space="preserve">CT-21</t>
  </si>
  <si>
    <t xml:space="preserve">GET /api/produtos/P001 e /P999</t>
  </si>
  <si>
    <t xml:space="preserve">200 (59,90) e 404 PRODUTO_NAO_ENCONTRADO</t>
  </si>
  <si>
    <t xml:space="preserve">CT-22</t>
  </si>
  <si>
    <t xml:space="preserve">Rota inexistente e método não permitido</t>
  </si>
  <si>
    <t xml:space="preserve">404 ROTA_NAO_ENCONTRADA; 405 METODO_NAO_PERMITIDO</t>
  </si>
  <si>
    <t xml:space="preserve">CT-23</t>
  </si>
  <si>
    <t xml:space="preserve">Pedido válido com cupom</t>
  </si>
  <si>
    <t xml:space="preserve">201; VZ-000000; CEP 01310100; total 109,90</t>
  </si>
  <si>
    <t xml:space="preserve">pedidos.spec.ts</t>
  </si>
  <si>
    <t xml:space="preserve">CT-24</t>
  </si>
  <si>
    <t xml:space="preserve">Pedido com cupom inválido / expirado</t>
  </si>
  <si>
    <t xml:space="preserve">422 CUPOM_INVALIDO / CUPOM_EXPIRADO</t>
  </si>
  <si>
    <t xml:space="preserve">CT-25</t>
  </si>
  <si>
    <t xml:space="preserve">regra existente</t>
  </si>
  <si>
    <t xml:space="preserve">Nome sem sobrenome; e-mail inválido; CEP 7 dígitos; CEP com letras</t>
  </si>
  <si>
    <t xml:space="preserve">422 DADOS_INVALIDOS (UI bloqueia/mostra erro)</t>
  </si>
  <si>
    <t xml:space="preserve">Parcial</t>
  </si>
  <si>
    <t xml:space="preserve">pedidos.spec.ts · checkout.spec.ts (test.fixme)</t>
  </si>
  <si>
    <t xml:space="preserve">CT-26</t>
  </si>
  <si>
    <t xml:space="preserve">CEP com 8 dígitos sem hífen</t>
  </si>
  <si>
    <t xml:space="preserve">aceito</t>
  </si>
  <si>
    <t xml:space="preserve">CT-U03</t>
  </si>
  <si>
    <t xml:space="preserve">CA05</t>
  </si>
  <si>
    <t xml:space="preserve">Com cupom aplicado, tentar aplicar outro; remover e aplicar VERAO2026</t>
  </si>
  <si>
    <t xml:space="preserve">UI</t>
  </si>
  <si>
    <t xml:space="preserve">campo de cupom some enquanto há cupom; após "Remover cupom" volta e aceita novo código</t>
  </si>
  <si>
    <t xml:space="preserve">carrinho-cupom.spec.ts</t>
  </si>
  <si>
    <t xml:space="preserve">CT-U05</t>
  </si>
  <si>
    <t xml:space="preserve">Aviso "Faltam R$ X para o frete grátis." (P005x1 → X = 100,00)</t>
  </si>
  <si>
    <t xml:space="preserve">aviso exibido com o valor correto</t>
  </si>
  <si>
    <t xml:space="preserve">carrinho-calculo.spec.ts</t>
  </si>
  <si>
    <t xml:space="preserve">CT-U06</t>
  </si>
  <si>
    <t xml:space="preserve">Botão "+" além de 5 unidades</t>
  </si>
  <si>
    <t xml:space="preserve">bloqueia ou avisa; sem 6ª unidade</t>
  </si>
  <si>
    <t xml:space="preserve">carrinho-itens.spec.ts</t>
  </si>
  <si>
    <t xml:space="preserve">CT-U07</t>
  </si>
  <si>
    <t xml:space="preserve">Interface exibe o mesmo valor que a API calcula</t>
  </si>
  <si>
    <t xml:space="preserve">UI/API</t>
  </si>
  <si>
    <t xml:space="preserve">valores idênticos</t>
  </si>
  <si>
    <t xml:space="preserve">Não</t>
  </si>
  <si>
    <t xml:space="preserve">CT-U08</t>
  </si>
  <si>
    <t xml:space="preserve">Ambiente</t>
  </si>
  <si>
    <t xml:space="preserve">Carrinho some em outra aba (comportamento esperado, NÃO é bug)</t>
  </si>
  <si>
    <t xml:space="preserve">carrinho vazio</t>
  </si>
  <si>
    <t xml:space="preserve">vitrine.spec.ts</t>
  </si>
  <si>
    <t xml:space="preserve">CT-U09</t>
  </si>
  <si>
    <t xml:space="preserve">Vitrine lista os 8 produtos com nome, categoria, descrição e preço iguais à API</t>
  </si>
  <si>
    <t xml:space="preserve">dados idênticos</t>
  </si>
  <si>
    <t xml:space="preserve">CT-U10</t>
  </si>
  <si>
    <t xml:space="preserve">Adicionar ao carrinho atualiza o contador do cabeçalho (e seu texto acessível: "1 item" vs "1 itens")</t>
  </si>
  <si>
    <t xml:space="preserve">estado inicial 0; contador = quantidade adicionada (1 após o primeiro item)</t>
  </si>
  <si>
    <t xml:space="preserve">CT-U11</t>
  </si>
  <si>
    <t xml:space="preserve">Limite de 5 na vitrine: 6º clique no mesmo produto</t>
  </si>
  <si>
    <t xml:space="preserve">bloqueia e/ou exibe aviso (#aviso-P004); nunca chega a 6</t>
  </si>
  <si>
    <t xml:space="preserve">CT-U12</t>
  </si>
  <si>
    <t xml:space="preserve">CA06/CA01</t>
  </si>
  <si>
    <t xml:space="preserve">Destaque da home: frete grátis a partir de R$ 200,00 e cupom BEMVINDO10 (10%)</t>
  </si>
  <si>
    <t xml:space="preserve">textos coerentes com a documentação (ver A11 sobre "primeira compra")</t>
  </si>
  <si>
    <t xml:space="preserve">CT-U13</t>
  </si>
  <si>
    <t xml:space="preserve">Navegação: Produtos, Documentação, Carrinho; título da aba</t>
  </si>
  <si>
    <t xml:space="preserve">rotas e título corretos</t>
  </si>
  <si>
    <t xml:space="preserve">CT-U14</t>
  </si>
  <si>
    <t xml:space="preserve">Acessibilidade básica: botões "Adicionar ao carrinho" repetidos sem nome do produto, foco por teclado, aviso aria-live</t>
  </si>
  <si>
    <t xml:space="preserve">observar e registrar (severidade baixa)</t>
  </si>
  <si>
    <t xml:space="preserve">CT-U15</t>
  </si>
  <si>
    <t xml:space="preserve">CA06/CA09</t>
  </si>
  <si>
    <t xml:space="preserve">Resumo com os 8 produtos (subtotal 849,40)</t>
  </si>
  <si>
    <t xml:space="preserve">desconto 0,00; frete "Grátis"; total 849,40</t>
  </si>
  <si>
    <t xml:space="preserve">CT-U16</t>
  </si>
  <si>
    <t xml:space="preserve">Remover item recalcula resumo e contador</t>
  </si>
  <si>
    <t xml:space="preserve">subtotal/frete/contador atualizados</t>
  </si>
  <si>
    <t xml:space="preserve">CT-U17</t>
  </si>
  <si>
    <t xml:space="preserve">Botão "-" com 1 unidade</t>
  </si>
  <si>
    <t xml:space="preserve">desabilitado (visto no HTML)</t>
  </si>
  <si>
    <t xml:space="preserve">CT-U18</t>
  </si>
  <si>
    <t xml:space="preserve">CA07/CA08</t>
  </si>
  <si>
    <t xml:space="preserve">Cupom aplicado + reduzir quantidade (P005 2→1)</t>
  </si>
  <si>
    <t xml:space="preserve">desconto 10,00; frete passa a 19,90; total 109,90</t>
  </si>
  <si>
    <t xml:space="preserve">CT-U19</t>
  </si>
  <si>
    <t xml:space="preserve">Esvaziar carrinho</t>
  </si>
  <si>
    <t xml:space="preserve">carrinho vazio; contador 0</t>
  </si>
  <si>
    <t xml:space="preserve">CT-U20</t>
  </si>
  <si>
    <t xml:space="preserve">Checkout: nome/e-mail/CEP e confirmação do pedido</t>
  </si>
  <si>
    <t xml:space="preserve">validações da doc; nº VZ-000000</t>
  </si>
  <si>
    <t xml:space="preserve">checkout.spec.ts (test.fixme)</t>
  </si>
  <si>
    <t xml:space="preserve">CT-U21</t>
  </si>
  <si>
    <t xml:space="preserve">CA06/CA07</t>
  </si>
  <si>
    <t xml:space="preserve">Aviso de faltante some ao atingir R$ 200,00</t>
  </si>
  <si>
    <t xml:space="preserve">aviso oculto com subtotal ≥ 200</t>
  </si>
  <si>
    <t xml:space="preserve">CT-U22</t>
  </si>
  <si>
    <t xml:space="preserve">Cupom aplicado: mensagem, rótulo "Desconto (BEMVINDO10)" e código normalizado</t>
  </si>
  <si>
    <t xml:space="preserve">"Cupom BEMVINDO10 aplicado." mesmo digitando "  bemvindo10  "</t>
  </si>
  <si>
    <t xml:space="preserve">CT-U23</t>
  </si>
  <si>
    <t xml:space="preserve">CA01/07/09</t>
  </si>
  <si>
    <t xml:space="preserve">P004 + P008 + BEMVINDO10</t>
  </si>
  <si>
    <t xml:space="preserve">subtotal 99,90; desconto -9,99; frete 19,90; total 109,81; "Faltam R$ 100,10"</t>
  </si>
  <si>
    <t xml:space="preserve">subtotal 99,90; desconto -9,99; frete 19,90; total 109,81; "Faltam R$ 100,10 para o frete grátis." (HTML capturado)</t>
  </si>
  <si>
    <t xml:space="preserve">anexar print</t>
  </si>
  <si>
    <t xml:space="preserve">CT-U24</t>
  </si>
  <si>
    <t xml:space="preserve">CA01/06/08</t>
  </si>
  <si>
    <t xml:space="preserve">8 produtos x1 + BEMVINDO10</t>
  </si>
  <si>
    <t xml:space="preserve">subtotal 849,40; desconto -84,94; frete Grátis; total 764,46</t>
  </si>
  <si>
    <t xml:space="preserve">subtotal 849,40; desconto -84,94; frete Grátis; total 764,46 (HTML capturado)</t>
  </si>
  <si>
    <t xml:space="preserve">CT-U25</t>
  </si>
  <si>
    <t xml:space="preserve">Itens permanecem ao ir a /carrinho e voltar (mesma aba)</t>
  </si>
  <si>
    <t xml:space="preserve">contador mantido</t>
  </si>
  <si>
    <t xml:space="preserve">ID (evidência)</t>
  </si>
  <si>
    <t xml:space="preserve">Cenário exploratório</t>
  </si>
  <si>
    <t xml:space="preserve">Exemplo / condição</t>
  </si>
  <si>
    <t xml:space="preserve">Resultado / achado</t>
  </si>
  <si>
    <t xml:space="preserve">Arquivo do print</t>
  </si>
  <si>
    <t xml:space="preserve">EX-U1-01</t>
  </si>
  <si>
    <t xml:space="preserve">Variações do código do cupom</t>
  </si>
  <si>
    <t xml:space="preserve">codigo=BEM VINDO10; resultado=sem desconto ("Cupom inválido.")</t>
  </si>
  <si>
    <t xml:space="preserve">EX-U1-01.png</t>
  </si>
  <si>
    <t xml:space="preserve">EX-U1-02</t>
  </si>
  <si>
    <t xml:space="preserve">codigo=(vazio); resultado=registrar o comportamento</t>
  </si>
  <si>
    <t xml:space="preserve">EX-U1-02.png</t>
  </si>
  <si>
    <t xml:space="preserve">EX-U1-03</t>
  </si>
  <si>
    <t xml:space="preserve">codigo=(3 espaços); resultado=registrar o comportamento</t>
  </si>
  <si>
    <t xml:space="preserve">EX-U1-03.png</t>
  </si>
  <si>
    <t xml:space="preserve">EX-U1-04</t>
  </si>
  <si>
    <t xml:space="preserve">codigo=BEMVINDO10!@#; resultado=sem desconto ("Cupom inválido.")</t>
  </si>
  <si>
    <t xml:space="preserve">EX-U1-04.png</t>
  </si>
  <si>
    <t xml:space="preserve">EX-U1-05</t>
  </si>
  <si>
    <t xml:space="preserve">codigo=(1000 × A); resultado=sem desconto e sem quebrar o layout</t>
  </si>
  <si>
    <t xml:space="preserve">EX-U1-05.png</t>
  </si>
  <si>
    <t xml:space="preserve">EX-U1-06</t>
  </si>
  <si>
    <t xml:space="preserve">codigo=BEMVÍNDO10; resultado=sem desconto ("Cupom inválido.")</t>
  </si>
  <si>
    <t xml:space="preserve">EX-U1-06.png</t>
  </si>
  <si>
    <t xml:space="preserve">EX-U2-01</t>
  </si>
  <si>
    <t xml:space="preserve">Interações com o limite de 5 unidades</t>
  </si>
  <si>
    <t xml:space="preserve">acao=clico 10× rápido em "+" na linha do Boné</t>
  </si>
  <si>
    <t xml:space="preserve">EX-U2-01.png</t>
  </si>
  <si>
    <t xml:space="preserve">EX-U2-02</t>
  </si>
  <si>
    <t xml:space="preserve">acao=clico 10× rápido em "Adicionar ao carrinho"</t>
  </si>
  <si>
    <t xml:space="preserve">EX-U2-02.png</t>
  </si>
  <si>
    <t xml:space="preserve">EX-U2-03</t>
  </si>
  <si>
    <t xml:space="preserve">acao=recarrego a página com 5× Boné no carrinho</t>
  </si>
  <si>
    <t xml:space="preserve">EX-U2-03.png</t>
  </si>
  <si>
    <t xml:space="preserve">EX-U2-04</t>
  </si>
  <si>
    <t xml:space="preserve">acao=altero a quantidade após aplicar BEMVINDO10</t>
  </si>
  <si>
    <t xml:space="preserve">EX-U2-04.png</t>
  </si>
  <si>
    <t xml:space="preserve">EX-U2-05</t>
  </si>
  <si>
    <t xml:space="preserve">acao=removo o Boné com BEMVINDO10 ativo</t>
  </si>
  <si>
    <t xml:space="preserve">EX-U2-05.png</t>
  </si>
  <si>
    <t xml:space="preserve">EX-U3-01</t>
  </si>
  <si>
    <t xml:space="preserve">Estado do carrinho ao navegar e recarregar</t>
  </si>
  <si>
    <t xml:space="preserve">acao=removo todos os itens</t>
  </si>
  <si>
    <t xml:space="preserve">EX-U3-01.png</t>
  </si>
  <si>
    <t xml:space="preserve">EX-U3-02</t>
  </si>
  <si>
    <t xml:space="preserve">acao=recarrego a página (F5)</t>
  </si>
  <si>
    <t xml:space="preserve">EX-U3-02.png</t>
  </si>
  <si>
    <t xml:space="preserve">EX-U3-03</t>
  </si>
  <si>
    <t xml:space="preserve">acao=uso Voltar e Avançar do navegador</t>
  </si>
  <si>
    <t xml:space="preserve">EX-U3-03.png</t>
  </si>
  <si>
    <t xml:space="preserve">EX-U3-04</t>
  </si>
  <si>
    <t xml:space="preserve">acao=abro /carrinho em outra aba</t>
  </si>
  <si>
    <t xml:space="preserve">EX-U3-04.png</t>
  </si>
  <si>
    <t xml:space="preserve">EX-U4-01</t>
  </si>
  <si>
    <t xml:space="preserve">Fronteira do frete grátis (R$ 200,00)</t>
  </si>
  <si>
    <t xml:space="preserve">itens=Camiseta + Calça (199,80); cupom=-; frete=R$ 19,90; total=R$ 219,70</t>
  </si>
  <si>
    <t xml:space="preserve">EX-U4-01.png</t>
  </si>
  <si>
    <t xml:space="preserve">EX-U4-02</t>
  </si>
  <si>
    <t xml:space="preserve">itens=Boné+Garrafa+Mochila (199,90); cupom=-; frete=R$ 19,90; total=R$ 219,80</t>
  </si>
  <si>
    <t xml:space="preserve">EX-U4-02.png</t>
  </si>
  <si>
    <t xml:space="preserve">EX-U4-03</t>
  </si>
  <si>
    <t xml:space="preserve">itens=4× Garrafa Térmica (200,00); cupom=-; frete=Grátis; total=R$ 200,00</t>
  </si>
  <si>
    <t xml:space="preserve">EX-U4-03.png</t>
  </si>
  <si>
    <t xml:space="preserve">EX-U4-04</t>
  </si>
  <si>
    <t xml:space="preserve">itens=Boné+Garrafa+Mochila (199,90); cupom=BEMVINDO10; frete=R$ 19,90; total=R$ 199,81</t>
  </si>
  <si>
    <t xml:space="preserve">EX-U4-04.png</t>
  </si>
  <si>
    <t xml:space="preserve">EX-U5-01</t>
  </si>
  <si>
    <t xml:space="preserve">Dados do cliente no checkout</t>
  </si>
  <si>
    <t xml:space="preserve">nome=Maria  (2 espaços no fim); email=maria@exemplo.com; cep=01310-100; resultado=registrar (espaços extras)</t>
  </si>
  <si>
    <t xml:space="preserve">EX-U5-01.png</t>
  </si>
  <si>
    <t xml:space="preserve">EX-U5-02</t>
  </si>
  <si>
    <t xml:space="preserve">nome=(3 espaços); email=maria@exemplo.com; cep=01310-100; resultado=bloqueado (nome obrigatório)</t>
  </si>
  <si>
    <t xml:space="preserve">EX-U5-02.png</t>
  </si>
  <si>
    <t xml:space="preserve">EX-U5-03</t>
  </si>
  <si>
    <t xml:space="preserve">nome=Maria Silva; email=maria @exemplo.com; cep=01310-100; resultado=bloqueado (e-mail inválido)</t>
  </si>
  <si>
    <t xml:space="preserve">EX-U5-03.png</t>
  </si>
  <si>
    <t xml:space="preserve">EX-U5-04</t>
  </si>
  <si>
    <t xml:space="preserve">nome=Maria Silva; email=maria@exemplo.com; cep=0131-0100; resultado=registrar (hífen fora do lugar)</t>
  </si>
  <si>
    <t xml:space="preserve">EX-U5-04.png</t>
  </si>
  <si>
    <t xml:space="preserve">EX-U5-05</t>
  </si>
  <si>
    <t xml:space="preserve">nome=Maria Silva; email=maria@exemplo.com; cep=01310 100; resultado=registrar (espaço no CEP)</t>
  </si>
  <si>
    <t xml:space="preserve">EX-U5-05.png</t>
  </si>
  <si>
    <t xml:space="preserve">EX-U5-06</t>
  </si>
  <si>
    <t xml:space="preserve">nome=(vazio); email=(vazio); cep=(vazio); resultado=bloqueado (campos obrigatórios)</t>
  </si>
  <si>
    <t xml:space="preserve">EX-U5-06.png</t>
  </si>
  <si>
    <t xml:space="preserve">EX-U5-07</t>
  </si>
  <si>
    <t xml:space="preserve">nome=Maria Silva; email=maria@exemplo.com; cep=01310-100; resultado=confirmado (pedido sem cupom)</t>
  </si>
  <si>
    <t xml:space="preserve">EX-U5-07.png</t>
  </si>
  <si>
    <t xml:space="preserve">EX-U6-01</t>
  </si>
  <si>
    <t xml:space="preserve">Responsividade e zoom</t>
  </si>
  <si>
    <t xml:space="preserve">pagina=Home; condicao=largura de 360 px</t>
  </si>
  <si>
    <t xml:space="preserve">EX-U6-01.png</t>
  </si>
  <si>
    <t xml:space="preserve">EX-U6-02</t>
  </si>
  <si>
    <t xml:space="preserve">pagina=Carrinho; condicao=largura de 360 px</t>
  </si>
  <si>
    <t xml:space="preserve">EX-U6-02.png</t>
  </si>
  <si>
    <t xml:space="preserve">EX-U6-03</t>
  </si>
  <si>
    <t xml:space="preserve">pagina=Home; condicao=largura de 768 px</t>
  </si>
  <si>
    <t xml:space="preserve">EX-U6-03.png</t>
  </si>
  <si>
    <t xml:space="preserve">EX-U6-04</t>
  </si>
  <si>
    <t xml:space="preserve">pagina=Carrinho; condicao=largura de 1366 px</t>
  </si>
  <si>
    <t xml:space="preserve">EX-U6-04.png</t>
  </si>
  <si>
    <t xml:space="preserve">EX-U6-05</t>
  </si>
  <si>
    <t xml:space="preserve">pagina=Carrinho; condicao=zoom de 200%</t>
  </si>
  <si>
    <t xml:space="preserve">EX-U6-05.png</t>
  </si>
  <si>
    <t xml:space="preserve">EX-U7-01</t>
  </si>
  <si>
    <t xml:space="preserve">Interação com o campo do cupom</t>
  </si>
  <si>
    <t xml:space="preserve">acao=digito BEMVINDO10 e pressiono Enter</t>
  </si>
  <si>
    <t xml:space="preserve">EX-U7-01.png</t>
  </si>
  <si>
    <t xml:space="preserve">EX-U7-02</t>
  </si>
  <si>
    <t xml:space="preserve">acao=colo BEMVINDO10 (Ctrl+V) e clico em Aplicar</t>
  </si>
  <si>
    <t xml:space="preserve">EX-U7-02.png</t>
  </si>
  <si>
    <t xml:space="preserve">EX-A1-01</t>
  </si>
  <si>
    <t xml:space="preserve">Cupom com tipos inválidos no cálculo</t>
  </si>
  <si>
    <t xml:space="preserve">valor=null</t>
  </si>
  <si>
    <t xml:space="preserve">EX-A1-01.png</t>
  </si>
  <si>
    <t xml:space="preserve">EX-A1-02</t>
  </si>
  <si>
    <t xml:space="preserve">valor=123 (número)</t>
  </si>
  <si>
    <t xml:space="preserve">EX-A1-02.png</t>
  </si>
  <si>
    <t xml:space="preserve">EX-A1-03</t>
  </si>
  <si>
    <t xml:space="preserve">valor=["BEMVINDO10"] (lista)</t>
  </si>
  <si>
    <t xml:space="preserve">EX-A1-03.png</t>
  </si>
  <si>
    <t xml:space="preserve">EX-A1-04</t>
  </si>
  <si>
    <t xml:space="preserve">valor=true (booleano)</t>
  </si>
  <si>
    <t xml:space="preserve">EX-A1-04.png</t>
  </si>
  <si>
    <t xml:space="preserve">EX-A2-01</t>
  </si>
  <si>
    <t xml:space="preserve">Corpo do cálculo com campos atípicos</t>
  </si>
  <si>
    <t xml:space="preserve">variacao=produtoId em minúsculo ("p001")</t>
  </si>
  <si>
    <t xml:space="preserve">EX-A2-01.png</t>
  </si>
  <si>
    <t xml:space="preserve">EX-A2-02</t>
  </si>
  <si>
    <t xml:space="preserve">variacao=produtoId vazio ("")</t>
  </si>
  <si>
    <t xml:space="preserve">EX-A2-02.png</t>
  </si>
  <si>
    <t xml:space="preserve">EX-A2-03</t>
  </si>
  <si>
    <t xml:space="preserve">variacao=quantidade como texto ("2")</t>
  </si>
  <si>
    <t xml:space="preserve">EX-A2-03.png</t>
  </si>
  <si>
    <t xml:space="preserve">EX-A2-04</t>
  </si>
  <si>
    <t xml:space="preserve">variacao=quantidade 99</t>
  </si>
  <si>
    <t xml:space="preserve">EX-A2-04.png</t>
  </si>
  <si>
    <t xml:space="preserve">EX-A2-05</t>
  </si>
  <si>
    <t xml:space="preserve">variacao="itens" como texto ("P001")</t>
  </si>
  <si>
    <t xml:space="preserve">EX-A2-05.png</t>
  </si>
  <si>
    <t xml:space="preserve">EX-A2-06</t>
  </si>
  <si>
    <t xml:space="preserve">variacao=um array no lugar do objeto ([])</t>
  </si>
  <si>
    <t xml:space="preserve">EX-A2-06.png</t>
  </si>
  <si>
    <t xml:space="preserve">EX-A2-07</t>
  </si>
  <si>
    <t xml:space="preserve">variacao=campos extras ("foo", "desconto": 999)</t>
  </si>
  <si>
    <t xml:space="preserve">EX-A2-07.png</t>
  </si>
  <si>
    <t xml:space="preserve">EX-A2-08</t>
  </si>
  <si>
    <t xml:space="preserve">variacao=Content-Type text/plain</t>
  </si>
  <si>
    <t xml:space="preserve">EX-A2-08.png</t>
  </si>
  <si>
    <t xml:space="preserve">EX-A3-01</t>
  </si>
  <si>
    <t xml:space="preserve">Pedido com dados do cliente atípicos</t>
  </si>
  <si>
    <t xml:space="preserve">variacao=nome com espaços extras ("Maria  ")</t>
  </si>
  <si>
    <t xml:space="preserve">EX-A3-01.png</t>
  </si>
  <si>
    <t xml:space="preserve">EX-A3-02</t>
  </si>
  <si>
    <t xml:space="preserve">variacao=nome só com espaços</t>
  </si>
  <si>
    <t xml:space="preserve">EX-A3-02.png</t>
  </si>
  <si>
    <t xml:space="preserve">EX-A3-03</t>
  </si>
  <si>
    <t xml:space="preserve">variacao=e-mail com espaço no meio</t>
  </si>
  <si>
    <t xml:space="preserve">EX-A3-03.png</t>
  </si>
  <si>
    <t xml:space="preserve">EX-A3-04</t>
  </si>
  <si>
    <t xml:space="preserve">variacao=CEP com hífen fora do lugar (0131-0100)</t>
  </si>
  <si>
    <t xml:space="preserve">EX-A3-04.png</t>
  </si>
  <si>
    <t xml:space="preserve">EX-A3-05</t>
  </si>
  <si>
    <t xml:space="preserve">variacao=CEP com espaço (01310 100)</t>
  </si>
  <si>
    <t xml:space="preserve">EX-A3-05.png</t>
  </si>
  <si>
    <t xml:space="preserve">EX-A3-06</t>
  </si>
  <si>
    <t xml:space="preserve">variacao=o objeto "cliente" ausente</t>
  </si>
  <si>
    <t xml:space="preserve">EX-A3-06.png</t>
  </si>
  <si>
    <t xml:space="preserve">EX-A3-07</t>
  </si>
  <si>
    <t xml:space="preserve">variacao=dados válidos e sem cupom</t>
  </si>
  <si>
    <t xml:space="preserve">EX-A3-07.png</t>
  </si>
  <si>
    <t xml:space="preserve">EX-A4-01</t>
  </si>
  <si>
    <t xml:space="preserve">Consistência entre endpoints</t>
  </si>
  <si>
    <t xml:space="preserve">Calcular e guardar valores</t>
  </si>
  <si>
    <t xml:space="preserve">EX-A4-01.png</t>
  </si>
  <si>
    <t xml:space="preserve">EX-A4-02</t>
  </si>
  <si>
    <t xml:space="preserve">Pedido igual ao cálculo</t>
  </si>
  <si>
    <t xml:space="preserve">EX-A4-02.png</t>
  </si>
  <si>
    <t xml:space="preserve">EX-A4-03</t>
  </si>
  <si>
    <t xml:space="preserve">Consultar preços do catálogo</t>
  </si>
  <si>
    <t xml:space="preserve">EX-A4-03.png</t>
  </si>
  <si>
    <t xml:space="preserve">EX-A4-04</t>
  </si>
  <si>
    <t xml:space="preserve">Subtotal = soma do catálogo</t>
  </si>
  <si>
    <t xml:space="preserve">EX-A4-04.png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</si>
</sst>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1E3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21E3F"/>
        <bgColor rgb="FF003300"/>
      </patternFill>
    </fill>
    <fill>
      <patternFill patternType="solid">
        <fgColor rgb="FFB8860B"/>
        <bgColor rgb="FF7F6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21E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EB9C"/>
        </patternFill>
      </fill>
    </dxf>
    <dxf>
      <fill>
        <patternFill patternType="solid">
          <fgColor rgb="FFD2EEF3"/>
          <bgColor rgb="FF000000"/>
        </patternFill>
      </fill>
    </dxf>
    <dxf>
      <fill>
        <patternFill patternType="solid">
          <fgColor rgb="FFE4E1FB"/>
          <bgColor rgb="FF000000"/>
        </patternFill>
      </fill>
    </dxf>
    <dxf>
      <fill>
        <patternFill patternType="solid">
          <fgColor rgb="FF0B5563"/>
          <bgColor rgb="FF000000"/>
        </patternFill>
      </fill>
    </dxf>
    <dxf>
      <fill>
        <patternFill patternType="solid">
          <fgColor rgb="FF3B2FB0"/>
          <bgColor rgb="FF000000"/>
        </patternFill>
      </fill>
    </dxf>
    <dxf>
      <font>
        <name val="Arial"/>
        <charset val="1"/>
        <family val="0"/>
        <b val="1"/>
        <color rgb="FF3B2FB0"/>
        <sz val="10"/>
      </font>
      <fill>
        <patternFill>
          <bgColor rgb="FFE4E1FB"/>
        </patternFill>
      </fill>
    </dxf>
    <dxf>
      <font>
        <name val="Arial"/>
        <charset val="1"/>
        <family val="0"/>
        <b val="1"/>
        <color rgb="FF0B5563"/>
        <sz val="10"/>
      </font>
      <fill>
        <patternFill>
          <bgColor rgb="FFD2EE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B5563"/>
      <rgbColor rgb="FFC0C0C0"/>
      <rgbColor rgb="FF808080"/>
      <rgbColor rgb="FF9999FF"/>
      <rgbColor rgb="FF993366"/>
      <rgbColor rgb="FFFFFFCC"/>
      <rgbColor rgb="FFD2EEF3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1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8860B"/>
      <rgbColor rgb="FFFF6600"/>
      <rgbColor rgb="FF555555"/>
      <rgbColor rgb="FF969696"/>
      <rgbColor rgb="FF021E3F"/>
      <rgbColor rgb="FF339966"/>
      <rgbColor rgb="FF003300"/>
      <rgbColor rgb="FF333300"/>
      <rgbColor rgb="FF993300"/>
      <rgbColor rgb="FF993366"/>
      <rgbColor rgb="FF3B2FB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E4" s="5" t="s">
        <v>5</v>
      </c>
    </row>
    <row r="5" customFormat="false" ht="39.75" hidden="false" customHeight="true" outlineLevel="0" collapsed="false">
      <c r="A5" s="6" t="s">
        <v>6</v>
      </c>
      <c r="B5" s="7" t="n">
        <f aca="false">COUNTA(Cenários!$A$2:$A$500)</f>
        <v>48</v>
      </c>
      <c r="E5" s="8" t="s">
        <v>7</v>
      </c>
    </row>
    <row r="6" customFormat="false" ht="39.75" hidden="false" customHeight="true" outlineLevel="0" collapsed="false">
      <c r="A6" s="6" t="s">
        <v>8</v>
      </c>
      <c r="B6" s="7" t="n">
        <f aca="false">COUNTIF(Cenários!$G$2:$G$500,"Passou")</f>
        <v>2</v>
      </c>
      <c r="C6" s="9" t="n">
        <f aca="false">IFERROR(B6/$B$5,0)</f>
        <v>0.0416666666666667</v>
      </c>
      <c r="E6" s="8" t="s">
        <v>9</v>
      </c>
    </row>
    <row r="7" customFormat="false" ht="39.75" hidden="false" customHeight="true" outlineLevel="0" collapsed="false">
      <c r="A7" s="6" t="s">
        <v>10</v>
      </c>
      <c r="B7" s="7" t="n">
        <f aca="false">COUNTIF(Cenários!$G$2:$G$500,"Falhou")</f>
        <v>0</v>
      </c>
      <c r="C7" s="9" t="n">
        <f aca="false">IFERROR(B7/$B$5,0)</f>
        <v>0</v>
      </c>
      <c r="E7" s="8" t="s">
        <v>11</v>
      </c>
    </row>
    <row r="8" customFormat="false" ht="39.75" hidden="false" customHeight="true" outlineLevel="0" collapsed="false">
      <c r="A8" s="6" t="s">
        <v>12</v>
      </c>
      <c r="B8" s="7" t="n">
        <f aca="false">COUNTIF(Cenários!$G$2:$G$500,"Pendente")</f>
        <v>46</v>
      </c>
      <c r="C8" s="9" t="n">
        <f aca="false">IFERROR(B8/$B$5,0)</f>
        <v>0.958333333333333</v>
      </c>
      <c r="E8" s="8" t="s">
        <v>13</v>
      </c>
    </row>
    <row r="9" customFormat="false" ht="39.75" hidden="false" customHeight="true" outlineLevel="0" collapsed="false">
      <c r="A9" s="10" t="s">
        <v>14</v>
      </c>
      <c r="B9" s="11" t="n">
        <f aca="false">B6+B7</f>
        <v>2</v>
      </c>
      <c r="C9" s="12" t="n">
        <f aca="false">IFERROR(B9/$B$5,0)</f>
        <v>0.0416666666666667</v>
      </c>
      <c r="E9" s="8" t="s">
        <v>15</v>
      </c>
    </row>
    <row r="10" customFormat="false" ht="39.75" hidden="false" customHeight="true" outlineLevel="0" collapsed="false">
      <c r="E10" s="8" t="s">
        <v>16</v>
      </c>
    </row>
    <row r="11" customFormat="false" ht="39.75" hidden="false" customHeight="true" outlineLevel="0" collapsed="false">
      <c r="A11" s="3" t="s">
        <v>17</v>
      </c>
      <c r="B11" s="4" t="s">
        <v>3</v>
      </c>
      <c r="C11" s="4"/>
      <c r="E11" s="8" t="s">
        <v>18</v>
      </c>
    </row>
    <row r="12" customFormat="false" ht="39.75" hidden="false" customHeight="true" outlineLevel="0" collapsed="false">
      <c r="A12" s="6" t="s">
        <v>19</v>
      </c>
      <c r="B12" s="7" t="n">
        <f aca="false">COUNTIF(Cenários!$D$2:$D$500,"*API*")</f>
        <v>28</v>
      </c>
      <c r="E12" s="8" t="s">
        <v>20</v>
      </c>
    </row>
    <row r="13" customFormat="false" ht="15" hidden="false" customHeight="false" outlineLevel="0" collapsed="false">
      <c r="A13" s="6" t="s">
        <v>21</v>
      </c>
      <c r="B13" s="7" t="n">
        <f aca="false">COUNTIF(Cenários!$D$2:$D$500,"*UI*")</f>
        <v>36</v>
      </c>
    </row>
    <row r="15" customFormat="false" ht="15" hidden="false" customHeight="false" outlineLevel="0" collapsed="false">
      <c r="A15" s="3" t="s">
        <v>22</v>
      </c>
      <c r="B15" s="4" t="s">
        <v>3</v>
      </c>
      <c r="C15" s="4" t="s">
        <v>4</v>
      </c>
    </row>
    <row r="16" customFormat="false" ht="15" hidden="false" customHeight="false" outlineLevel="0" collapsed="false">
      <c r="A16" s="6" t="s">
        <v>23</v>
      </c>
      <c r="B16" s="7" t="n">
        <f aca="false">COUNTIF(Cenários!$J$2:$J$500,"Sim")</f>
        <v>42</v>
      </c>
      <c r="C16" s="9" t="n">
        <f aca="false">IFERROR(B16/$B$5,0)</f>
        <v>0.875</v>
      </c>
    </row>
    <row r="17" customFormat="false" ht="15" hidden="false" customHeight="false" outlineLevel="0" collapsed="false">
      <c r="A17" s="6" t="s">
        <v>24</v>
      </c>
      <c r="B17" s="7" t="n">
        <f aca="false">COUNTIF(Cenários!$J$2:$J$500,"Parcial")</f>
        <v>2</v>
      </c>
      <c r="C17" s="9" t="n">
        <f aca="false">IFERROR(B17/$B$5,0)</f>
        <v>0.0416666666666667</v>
      </c>
    </row>
    <row r="18" customFormat="false" ht="15" hidden="false" customHeight="false" outlineLevel="0" collapsed="false">
      <c r="A18" s="6" t="s">
        <v>25</v>
      </c>
      <c r="B18" s="7" t="n">
        <f aca="false">COUNTIF(Cenários!$J$2:$J$500,"Não")</f>
        <v>4</v>
      </c>
      <c r="C18" s="9" t="n">
        <f aca="false">IFERROR(B18/$B$5,0)</f>
        <v>0.0833333333333333</v>
      </c>
    </row>
    <row r="20" customFormat="false" ht="15" hidden="false" customHeight="false" outlineLevel="0" collapsed="false">
      <c r="A20" s="3" t="s">
        <v>26</v>
      </c>
      <c r="B20" s="4" t="s">
        <v>3</v>
      </c>
      <c r="C20" s="4" t="s">
        <v>4</v>
      </c>
    </row>
    <row r="21" customFormat="false" ht="15" hidden="false" customHeight="false" outlineLevel="0" collapsed="false">
      <c r="A21" s="6" t="s">
        <v>27</v>
      </c>
      <c r="B21" s="7" t="n">
        <f aca="false">COUNTA(Exploratórias!$A$2:$A$500)</f>
        <v>56</v>
      </c>
    </row>
    <row r="22" customFormat="false" ht="15" hidden="false" customHeight="false" outlineLevel="0" collapsed="false">
      <c r="A22" s="6" t="s">
        <v>28</v>
      </c>
      <c r="B22" s="7" t="n">
        <f aca="false">COUNTIF(Exploratórias!$E$2:$E$500,"Sem achados")</f>
        <v>0</v>
      </c>
      <c r="C22" s="9" t="n">
        <f aca="false">IFERROR(B22/$B$21,0)</f>
        <v>0</v>
      </c>
    </row>
    <row r="23" customFormat="false" ht="15" hidden="false" customHeight="false" outlineLevel="0" collapsed="false">
      <c r="A23" s="6" t="s">
        <v>29</v>
      </c>
      <c r="B23" s="7" t="n">
        <f aca="false">COUNTIF(Exploratórias!$E$2:$E$500,"Bug encontrado")</f>
        <v>0</v>
      </c>
      <c r="C23" s="9" t="n">
        <f aca="false">IFERROR(B23/$B$21,0)</f>
        <v>0</v>
      </c>
    </row>
    <row r="24" customFormat="false" ht="15" hidden="false" customHeight="false" outlineLevel="0" collapsed="false">
      <c r="A24" s="6" t="s">
        <v>12</v>
      </c>
      <c r="B24" s="7" t="n">
        <f aca="false">COUNTIF(Exploratórias!$E$2:$E$500,"Pendente")</f>
        <v>56</v>
      </c>
      <c r="C24" s="9" t="n">
        <f aca="false">IFERROR(B24/$B$21,0)</f>
        <v>1</v>
      </c>
    </row>
    <row r="25" customFormat="false" ht="15" hidden="false" customHeight="false" outlineLevel="0" collapsed="false">
      <c r="A25" s="6" t="s">
        <v>30</v>
      </c>
      <c r="B25" s="7" t="n">
        <f aca="false">COUNTIF(Exploratórias!$B$2:$B$500,"UI")</f>
        <v>33</v>
      </c>
    </row>
    <row r="26" customFormat="false" ht="15" hidden="false" customHeight="false" outlineLevel="0" collapsed="false">
      <c r="A26" s="6" t="s">
        <v>31</v>
      </c>
      <c r="B26" s="7" t="n">
        <f aca="false">COUNTIF(Exploratórias!$B$2:$B$500,"API")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8"/>
  </cols>
  <sheetData>
    <row r="1" customFormat="false" ht="24" hidden="false" customHeight="true" outlineLevel="0" collapsed="false">
      <c r="A1" s="13" t="s">
        <v>32</v>
      </c>
      <c r="B1" s="13" t="s">
        <v>33</v>
      </c>
      <c r="C1" s="13" t="s">
        <v>34</v>
      </c>
      <c r="D1" s="13" t="s">
        <v>35</v>
      </c>
      <c r="E1" s="13" t="s">
        <v>36</v>
      </c>
      <c r="F1" s="14" t="s">
        <v>37</v>
      </c>
      <c r="G1" s="14" t="s">
        <v>38</v>
      </c>
      <c r="H1" s="14" t="s">
        <v>39</v>
      </c>
      <c r="I1" s="14" t="s">
        <v>40</v>
      </c>
      <c r="J1" s="13" t="s">
        <v>41</v>
      </c>
      <c r="K1" s="13" t="s">
        <v>42</v>
      </c>
    </row>
    <row r="2" customFormat="false" ht="15" hidden="false" customHeight="false" outlineLevel="0" collapsed="false">
      <c r="A2" s="15" t="s">
        <v>43</v>
      </c>
      <c r="B2" s="16" t="s">
        <v>44</v>
      </c>
      <c r="C2" s="16" t="s">
        <v>45</v>
      </c>
      <c r="D2" s="15" t="s">
        <v>46</v>
      </c>
      <c r="E2" s="16" t="s">
        <v>47</v>
      </c>
      <c r="F2" s="16"/>
      <c r="G2" s="15" t="s">
        <v>12</v>
      </c>
      <c r="H2" s="16"/>
      <c r="I2" s="15"/>
      <c r="J2" s="15" t="s">
        <v>48</v>
      </c>
      <c r="K2" s="16" t="s">
        <v>49</v>
      </c>
    </row>
    <row r="3" customFormat="false" ht="23.85" hidden="false" customHeight="false" outlineLevel="0" collapsed="false">
      <c r="A3" s="15" t="s">
        <v>50</v>
      </c>
      <c r="B3" s="16" t="s">
        <v>51</v>
      </c>
      <c r="C3" s="16" t="s">
        <v>52</v>
      </c>
      <c r="D3" s="15" t="s">
        <v>46</v>
      </c>
      <c r="E3" s="16" t="s">
        <v>53</v>
      </c>
      <c r="F3" s="16"/>
      <c r="G3" s="15" t="s">
        <v>12</v>
      </c>
      <c r="H3" s="16"/>
      <c r="I3" s="15"/>
      <c r="J3" s="15" t="s">
        <v>48</v>
      </c>
      <c r="K3" s="16" t="s">
        <v>54</v>
      </c>
    </row>
    <row r="4" customFormat="false" ht="15" hidden="false" customHeight="false" outlineLevel="0" collapsed="false">
      <c r="A4" s="15" t="s">
        <v>55</v>
      </c>
      <c r="B4" s="16" t="s">
        <v>51</v>
      </c>
      <c r="C4" s="16" t="s">
        <v>56</v>
      </c>
      <c r="D4" s="15" t="s">
        <v>46</v>
      </c>
      <c r="E4" s="16" t="s">
        <v>53</v>
      </c>
      <c r="F4" s="16"/>
      <c r="G4" s="15" t="s">
        <v>12</v>
      </c>
      <c r="H4" s="16"/>
      <c r="I4" s="15"/>
      <c r="J4" s="15" t="s">
        <v>48</v>
      </c>
      <c r="K4" s="16" t="s">
        <v>54</v>
      </c>
    </row>
    <row r="5" customFormat="false" ht="15" hidden="false" customHeight="false" outlineLevel="0" collapsed="false">
      <c r="A5" s="15" t="s">
        <v>57</v>
      </c>
      <c r="B5" s="16" t="s">
        <v>58</v>
      </c>
      <c r="C5" s="16" t="s">
        <v>59</v>
      </c>
      <c r="D5" s="15" t="s">
        <v>46</v>
      </c>
      <c r="E5" s="16" t="s">
        <v>60</v>
      </c>
      <c r="F5" s="16"/>
      <c r="G5" s="15" t="s">
        <v>12</v>
      </c>
      <c r="H5" s="16"/>
      <c r="I5" s="15"/>
      <c r="J5" s="15" t="s">
        <v>48</v>
      </c>
      <c r="K5" s="16" t="s">
        <v>54</v>
      </c>
    </row>
    <row r="6" customFormat="false" ht="15" hidden="false" customHeight="false" outlineLevel="0" collapsed="false">
      <c r="A6" s="15" t="s">
        <v>61</v>
      </c>
      <c r="B6" s="16" t="s">
        <v>62</v>
      </c>
      <c r="C6" s="16" t="s">
        <v>63</v>
      </c>
      <c r="D6" s="15" t="s">
        <v>46</v>
      </c>
      <c r="E6" s="16" t="s">
        <v>64</v>
      </c>
      <c r="F6" s="16"/>
      <c r="G6" s="15" t="s">
        <v>12</v>
      </c>
      <c r="H6" s="16"/>
      <c r="I6" s="15"/>
      <c r="J6" s="15" t="s">
        <v>48</v>
      </c>
      <c r="K6" s="16" t="s">
        <v>54</v>
      </c>
    </row>
    <row r="7" customFormat="false" ht="15" hidden="false" customHeight="false" outlineLevel="0" collapsed="false">
      <c r="A7" s="15" t="s">
        <v>65</v>
      </c>
      <c r="B7" s="16" t="s">
        <v>66</v>
      </c>
      <c r="C7" s="16" t="s">
        <v>67</v>
      </c>
      <c r="D7" s="15" t="s">
        <v>46</v>
      </c>
      <c r="E7" s="16" t="s">
        <v>68</v>
      </c>
      <c r="F7" s="16"/>
      <c r="G7" s="15" t="s">
        <v>12</v>
      </c>
      <c r="H7" s="16"/>
      <c r="I7" s="15"/>
      <c r="J7" s="15" t="s">
        <v>48</v>
      </c>
      <c r="K7" s="16" t="s">
        <v>49</v>
      </c>
    </row>
    <row r="8" customFormat="false" ht="15" hidden="false" customHeight="false" outlineLevel="0" collapsed="false">
      <c r="A8" s="15" t="s">
        <v>69</v>
      </c>
      <c r="B8" s="16" t="s">
        <v>70</v>
      </c>
      <c r="C8" s="16" t="s">
        <v>71</v>
      </c>
      <c r="D8" s="15" t="s">
        <v>46</v>
      </c>
      <c r="E8" s="16" t="s">
        <v>72</v>
      </c>
      <c r="F8" s="16"/>
      <c r="G8" s="15" t="s">
        <v>12</v>
      </c>
      <c r="H8" s="16"/>
      <c r="I8" s="15"/>
      <c r="J8" s="15" t="s">
        <v>48</v>
      </c>
      <c r="K8" s="16" t="s">
        <v>49</v>
      </c>
    </row>
    <row r="9" customFormat="false" ht="15" hidden="false" customHeight="false" outlineLevel="0" collapsed="false">
      <c r="A9" s="15" t="s">
        <v>73</v>
      </c>
      <c r="B9" s="16" t="s">
        <v>66</v>
      </c>
      <c r="C9" s="16" t="s">
        <v>74</v>
      </c>
      <c r="D9" s="15" t="s">
        <v>46</v>
      </c>
      <c r="E9" s="16" t="s">
        <v>75</v>
      </c>
      <c r="F9" s="16"/>
      <c r="G9" s="15" t="s">
        <v>12</v>
      </c>
      <c r="H9" s="16"/>
      <c r="I9" s="15"/>
      <c r="J9" s="15" t="s">
        <v>48</v>
      </c>
      <c r="K9" s="16" t="s">
        <v>49</v>
      </c>
    </row>
    <row r="10" customFormat="false" ht="15" hidden="false" customHeight="false" outlineLevel="0" collapsed="false">
      <c r="A10" s="15" t="s">
        <v>76</v>
      </c>
      <c r="B10" s="16" t="s">
        <v>77</v>
      </c>
      <c r="C10" s="16" t="s">
        <v>78</v>
      </c>
      <c r="D10" s="15" t="s">
        <v>79</v>
      </c>
      <c r="E10" s="16" t="s">
        <v>80</v>
      </c>
      <c r="F10" s="16"/>
      <c r="G10" s="15" t="s">
        <v>12</v>
      </c>
      <c r="H10" s="16"/>
      <c r="I10" s="15"/>
      <c r="J10" s="15" t="s">
        <v>48</v>
      </c>
      <c r="K10" s="16" t="s">
        <v>49</v>
      </c>
    </row>
    <row r="11" customFormat="false" ht="15" hidden="false" customHeight="false" outlineLevel="0" collapsed="false">
      <c r="A11" s="15" t="s">
        <v>81</v>
      </c>
      <c r="B11" s="16" t="s">
        <v>82</v>
      </c>
      <c r="C11" s="16" t="s">
        <v>83</v>
      </c>
      <c r="D11" s="15" t="s">
        <v>46</v>
      </c>
      <c r="E11" s="16" t="s">
        <v>84</v>
      </c>
      <c r="F11" s="16"/>
      <c r="G11" s="15" t="s">
        <v>12</v>
      </c>
      <c r="H11" s="16"/>
      <c r="I11" s="15"/>
      <c r="J11" s="15" t="s">
        <v>48</v>
      </c>
      <c r="K11" s="16" t="s">
        <v>49</v>
      </c>
    </row>
    <row r="12" customFormat="false" ht="15" hidden="false" customHeight="false" outlineLevel="0" collapsed="false">
      <c r="A12" s="15" t="s">
        <v>85</v>
      </c>
      <c r="B12" s="16" t="s">
        <v>86</v>
      </c>
      <c r="C12" s="16" t="s">
        <v>87</v>
      </c>
      <c r="D12" s="15" t="s">
        <v>46</v>
      </c>
      <c r="E12" s="16" t="s">
        <v>88</v>
      </c>
      <c r="F12" s="16"/>
      <c r="G12" s="15" t="s">
        <v>12</v>
      </c>
      <c r="H12" s="16"/>
      <c r="I12" s="15"/>
      <c r="J12" s="15" t="s">
        <v>48</v>
      </c>
      <c r="K12" s="16" t="s">
        <v>49</v>
      </c>
    </row>
    <row r="13" customFormat="false" ht="23.85" hidden="false" customHeight="false" outlineLevel="0" collapsed="false">
      <c r="A13" s="15" t="s">
        <v>89</v>
      </c>
      <c r="B13" s="16" t="s">
        <v>90</v>
      </c>
      <c r="C13" s="16" t="s">
        <v>91</v>
      </c>
      <c r="D13" s="15" t="s">
        <v>79</v>
      </c>
      <c r="E13" s="16" t="s">
        <v>92</v>
      </c>
      <c r="F13" s="16"/>
      <c r="G13" s="15" t="s">
        <v>12</v>
      </c>
      <c r="H13" s="16"/>
      <c r="I13" s="15"/>
      <c r="J13" s="15" t="s">
        <v>48</v>
      </c>
      <c r="K13" s="16" t="s">
        <v>49</v>
      </c>
    </row>
    <row r="14" customFormat="false" ht="15" hidden="false" customHeight="false" outlineLevel="0" collapsed="false">
      <c r="A14" s="15" t="s">
        <v>93</v>
      </c>
      <c r="B14" s="16" t="s">
        <v>94</v>
      </c>
      <c r="C14" s="16" t="s">
        <v>95</v>
      </c>
      <c r="D14" s="15" t="s">
        <v>46</v>
      </c>
      <c r="E14" s="16" t="s">
        <v>96</v>
      </c>
      <c r="F14" s="16"/>
      <c r="G14" s="15" t="s">
        <v>12</v>
      </c>
      <c r="H14" s="16"/>
      <c r="I14" s="15"/>
      <c r="J14" s="15" t="s">
        <v>48</v>
      </c>
      <c r="K14" s="16" t="s">
        <v>49</v>
      </c>
    </row>
    <row r="15" customFormat="false" ht="23.85" hidden="false" customHeight="false" outlineLevel="0" collapsed="false">
      <c r="A15" s="15" t="s">
        <v>97</v>
      </c>
      <c r="B15" s="16" t="s">
        <v>94</v>
      </c>
      <c r="C15" s="16" t="s">
        <v>98</v>
      </c>
      <c r="D15" s="15" t="s">
        <v>46</v>
      </c>
      <c r="E15" s="16" t="s">
        <v>99</v>
      </c>
      <c r="F15" s="16"/>
      <c r="G15" s="15" t="s">
        <v>12</v>
      </c>
      <c r="H15" s="16"/>
      <c r="I15" s="15"/>
      <c r="J15" s="15" t="s">
        <v>48</v>
      </c>
      <c r="K15" s="16" t="s">
        <v>100</v>
      </c>
    </row>
    <row r="16" customFormat="false" ht="15" hidden="false" customHeight="false" outlineLevel="0" collapsed="false">
      <c r="A16" s="15" t="s">
        <v>101</v>
      </c>
      <c r="B16" s="16" t="s">
        <v>102</v>
      </c>
      <c r="C16" s="16" t="s">
        <v>103</v>
      </c>
      <c r="D16" s="15" t="s">
        <v>79</v>
      </c>
      <c r="E16" s="16" t="s">
        <v>104</v>
      </c>
      <c r="F16" s="16"/>
      <c r="G16" s="15" t="s">
        <v>12</v>
      </c>
      <c r="H16" s="16"/>
      <c r="I16" s="15"/>
      <c r="J16" s="15" t="s">
        <v>48</v>
      </c>
      <c r="K16" s="16" t="s">
        <v>105</v>
      </c>
    </row>
    <row r="17" customFormat="false" ht="15" hidden="false" customHeight="false" outlineLevel="0" collapsed="false">
      <c r="A17" s="15" t="s">
        <v>106</v>
      </c>
      <c r="B17" s="16" t="s">
        <v>102</v>
      </c>
      <c r="C17" s="16" t="s">
        <v>107</v>
      </c>
      <c r="D17" s="15" t="s">
        <v>79</v>
      </c>
      <c r="E17" s="16" t="s">
        <v>108</v>
      </c>
      <c r="F17" s="16"/>
      <c r="G17" s="15" t="s">
        <v>12</v>
      </c>
      <c r="H17" s="16"/>
      <c r="I17" s="15"/>
      <c r="J17" s="15" t="s">
        <v>48</v>
      </c>
      <c r="K17" s="16" t="s">
        <v>105</v>
      </c>
    </row>
    <row r="18" customFormat="false" ht="15" hidden="false" customHeight="false" outlineLevel="0" collapsed="false">
      <c r="A18" s="15" t="s">
        <v>109</v>
      </c>
      <c r="B18" s="16" t="s">
        <v>102</v>
      </c>
      <c r="C18" s="16" t="s">
        <v>110</v>
      </c>
      <c r="D18" s="15" t="s">
        <v>79</v>
      </c>
      <c r="E18" s="16" t="s">
        <v>111</v>
      </c>
      <c r="F18" s="16"/>
      <c r="G18" s="15" t="s">
        <v>12</v>
      </c>
      <c r="H18" s="16"/>
      <c r="I18" s="15"/>
      <c r="J18" s="15" t="s">
        <v>48</v>
      </c>
      <c r="K18" s="16" t="s">
        <v>105</v>
      </c>
    </row>
    <row r="19" customFormat="false" ht="15" hidden="false" customHeight="false" outlineLevel="0" collapsed="false">
      <c r="A19" s="15" t="s">
        <v>112</v>
      </c>
      <c r="B19" s="16" t="s">
        <v>102</v>
      </c>
      <c r="C19" s="16" t="s">
        <v>113</v>
      </c>
      <c r="D19" s="15" t="s">
        <v>79</v>
      </c>
      <c r="E19" s="16" t="s">
        <v>114</v>
      </c>
      <c r="F19" s="16"/>
      <c r="G19" s="15" t="s">
        <v>12</v>
      </c>
      <c r="H19" s="16"/>
      <c r="I19" s="15"/>
      <c r="J19" s="15" t="s">
        <v>48</v>
      </c>
      <c r="K19" s="16" t="s">
        <v>105</v>
      </c>
    </row>
    <row r="20" customFormat="false" ht="15" hidden="false" customHeight="false" outlineLevel="0" collapsed="false">
      <c r="A20" s="15" t="s">
        <v>115</v>
      </c>
      <c r="B20" s="16" t="s">
        <v>102</v>
      </c>
      <c r="C20" s="16" t="s">
        <v>116</v>
      </c>
      <c r="D20" s="15" t="s">
        <v>79</v>
      </c>
      <c r="E20" s="16" t="s">
        <v>117</v>
      </c>
      <c r="F20" s="16"/>
      <c r="G20" s="15" t="s">
        <v>12</v>
      </c>
      <c r="H20" s="16"/>
      <c r="I20" s="15"/>
      <c r="J20" s="15" t="s">
        <v>48</v>
      </c>
      <c r="K20" s="16" t="s">
        <v>118</v>
      </c>
    </row>
    <row r="21" customFormat="false" ht="15" hidden="false" customHeight="false" outlineLevel="0" collapsed="false">
      <c r="A21" s="15" t="s">
        <v>119</v>
      </c>
      <c r="B21" s="16" t="s">
        <v>102</v>
      </c>
      <c r="C21" s="16" t="s">
        <v>120</v>
      </c>
      <c r="D21" s="15" t="s">
        <v>79</v>
      </c>
      <c r="E21" s="16" t="s">
        <v>121</v>
      </c>
      <c r="F21" s="16"/>
      <c r="G21" s="15" t="s">
        <v>12</v>
      </c>
      <c r="H21" s="16"/>
      <c r="I21" s="15"/>
      <c r="J21" s="15" t="s">
        <v>48</v>
      </c>
      <c r="K21" s="16" t="s">
        <v>118</v>
      </c>
    </row>
    <row r="22" customFormat="false" ht="15" hidden="false" customHeight="false" outlineLevel="0" collapsed="false">
      <c r="A22" s="15" t="s">
        <v>122</v>
      </c>
      <c r="B22" s="16" t="s">
        <v>102</v>
      </c>
      <c r="C22" s="16" t="s">
        <v>123</v>
      </c>
      <c r="D22" s="15" t="s">
        <v>79</v>
      </c>
      <c r="E22" s="16" t="s">
        <v>124</v>
      </c>
      <c r="F22" s="16"/>
      <c r="G22" s="15" t="s">
        <v>12</v>
      </c>
      <c r="H22" s="16"/>
      <c r="I22" s="15"/>
      <c r="J22" s="15" t="s">
        <v>48</v>
      </c>
      <c r="K22" s="16" t="s">
        <v>118</v>
      </c>
    </row>
    <row r="23" customFormat="false" ht="23.85" hidden="false" customHeight="false" outlineLevel="0" collapsed="false">
      <c r="A23" s="15" t="s">
        <v>125</v>
      </c>
      <c r="B23" s="16" t="s">
        <v>102</v>
      </c>
      <c r="C23" s="16" t="s">
        <v>126</v>
      </c>
      <c r="D23" s="15" t="s">
        <v>79</v>
      </c>
      <c r="E23" s="16" t="s">
        <v>127</v>
      </c>
      <c r="F23" s="16"/>
      <c r="G23" s="15" t="s">
        <v>12</v>
      </c>
      <c r="H23" s="16"/>
      <c r="I23" s="15"/>
      <c r="J23" s="15" t="s">
        <v>48</v>
      </c>
      <c r="K23" s="16" t="s">
        <v>118</v>
      </c>
    </row>
    <row r="24" customFormat="false" ht="15" hidden="false" customHeight="false" outlineLevel="0" collapsed="false">
      <c r="A24" s="15" t="s">
        <v>128</v>
      </c>
      <c r="B24" s="16" t="s">
        <v>102</v>
      </c>
      <c r="C24" s="16" t="s">
        <v>129</v>
      </c>
      <c r="D24" s="15" t="s">
        <v>79</v>
      </c>
      <c r="E24" s="16" t="s">
        <v>130</v>
      </c>
      <c r="F24" s="16"/>
      <c r="G24" s="15" t="s">
        <v>12</v>
      </c>
      <c r="H24" s="16"/>
      <c r="I24" s="15"/>
      <c r="J24" s="15" t="s">
        <v>48</v>
      </c>
      <c r="K24" s="16" t="s">
        <v>131</v>
      </c>
    </row>
    <row r="25" customFormat="false" ht="15" hidden="false" customHeight="false" outlineLevel="0" collapsed="false">
      <c r="A25" s="15" t="s">
        <v>132</v>
      </c>
      <c r="B25" s="16" t="s">
        <v>102</v>
      </c>
      <c r="C25" s="16" t="s">
        <v>133</v>
      </c>
      <c r="D25" s="15" t="s">
        <v>79</v>
      </c>
      <c r="E25" s="16" t="s">
        <v>134</v>
      </c>
      <c r="F25" s="16"/>
      <c r="G25" s="15" t="s">
        <v>12</v>
      </c>
      <c r="H25" s="16"/>
      <c r="I25" s="15"/>
      <c r="J25" s="15" t="s">
        <v>48</v>
      </c>
      <c r="K25" s="16" t="s">
        <v>131</v>
      </c>
    </row>
    <row r="26" customFormat="false" ht="23.85" hidden="false" customHeight="false" outlineLevel="0" collapsed="false">
      <c r="A26" s="15" t="s">
        <v>135</v>
      </c>
      <c r="B26" s="16" t="s">
        <v>136</v>
      </c>
      <c r="C26" s="16" t="s">
        <v>137</v>
      </c>
      <c r="D26" s="15" t="s">
        <v>46</v>
      </c>
      <c r="E26" s="16" t="s">
        <v>138</v>
      </c>
      <c r="F26" s="16"/>
      <c r="G26" s="15" t="s">
        <v>12</v>
      </c>
      <c r="H26" s="16"/>
      <c r="I26" s="15"/>
      <c r="J26" s="15" t="s">
        <v>139</v>
      </c>
      <c r="K26" s="16" t="s">
        <v>140</v>
      </c>
    </row>
    <row r="27" customFormat="false" ht="15" hidden="false" customHeight="false" outlineLevel="0" collapsed="false">
      <c r="A27" s="15" t="s">
        <v>141</v>
      </c>
      <c r="B27" s="16" t="s">
        <v>136</v>
      </c>
      <c r="C27" s="16" t="s">
        <v>142</v>
      </c>
      <c r="D27" s="15" t="s">
        <v>46</v>
      </c>
      <c r="E27" s="16" t="s">
        <v>143</v>
      </c>
      <c r="F27" s="16"/>
      <c r="G27" s="15" t="s">
        <v>12</v>
      </c>
      <c r="H27" s="16"/>
      <c r="I27" s="15"/>
      <c r="J27" s="15" t="s">
        <v>139</v>
      </c>
      <c r="K27" s="16" t="s">
        <v>140</v>
      </c>
    </row>
    <row r="28" customFormat="false" ht="23.85" hidden="false" customHeight="false" outlineLevel="0" collapsed="false">
      <c r="A28" s="15" t="s">
        <v>144</v>
      </c>
      <c r="B28" s="16" t="s">
        <v>145</v>
      </c>
      <c r="C28" s="16" t="s">
        <v>146</v>
      </c>
      <c r="D28" s="15" t="s">
        <v>147</v>
      </c>
      <c r="E28" s="16" t="s">
        <v>148</v>
      </c>
      <c r="F28" s="16"/>
      <c r="G28" s="15" t="s">
        <v>12</v>
      </c>
      <c r="H28" s="16"/>
      <c r="I28" s="15"/>
      <c r="J28" s="15" t="s">
        <v>48</v>
      </c>
      <c r="K28" s="16" t="s">
        <v>149</v>
      </c>
    </row>
    <row r="29" customFormat="false" ht="23.85" hidden="false" customHeight="false" outlineLevel="0" collapsed="false">
      <c r="A29" s="15" t="s">
        <v>150</v>
      </c>
      <c r="B29" s="16" t="s">
        <v>66</v>
      </c>
      <c r="C29" s="16" t="s">
        <v>151</v>
      </c>
      <c r="D29" s="15" t="s">
        <v>147</v>
      </c>
      <c r="E29" s="16" t="s">
        <v>152</v>
      </c>
      <c r="F29" s="16"/>
      <c r="G29" s="15" t="s">
        <v>12</v>
      </c>
      <c r="H29" s="16"/>
      <c r="I29" s="15"/>
      <c r="J29" s="15" t="s">
        <v>48</v>
      </c>
      <c r="K29" s="16" t="s">
        <v>153</v>
      </c>
    </row>
    <row r="30" customFormat="false" ht="15" hidden="false" customHeight="false" outlineLevel="0" collapsed="false">
      <c r="A30" s="15" t="s">
        <v>154</v>
      </c>
      <c r="B30" s="16" t="s">
        <v>94</v>
      </c>
      <c r="C30" s="16" t="s">
        <v>155</v>
      </c>
      <c r="D30" s="15" t="s">
        <v>147</v>
      </c>
      <c r="E30" s="16" t="s">
        <v>156</v>
      </c>
      <c r="F30" s="16"/>
      <c r="G30" s="15" t="s">
        <v>12</v>
      </c>
      <c r="H30" s="16"/>
      <c r="I30" s="15"/>
      <c r="J30" s="15" t="s">
        <v>48</v>
      </c>
      <c r="K30" s="16" t="s">
        <v>157</v>
      </c>
    </row>
    <row r="31" customFormat="false" ht="15" hidden="false" customHeight="false" outlineLevel="0" collapsed="false">
      <c r="A31" s="15" t="s">
        <v>158</v>
      </c>
      <c r="B31" s="16" t="s">
        <v>102</v>
      </c>
      <c r="C31" s="16" t="s">
        <v>159</v>
      </c>
      <c r="D31" s="15" t="s">
        <v>160</v>
      </c>
      <c r="E31" s="16" t="s">
        <v>161</v>
      </c>
      <c r="F31" s="16"/>
      <c r="G31" s="15" t="s">
        <v>12</v>
      </c>
      <c r="H31" s="16"/>
      <c r="I31" s="15"/>
      <c r="J31" s="15" t="s">
        <v>162</v>
      </c>
      <c r="K31" s="16"/>
    </row>
    <row r="32" customFormat="false" ht="23.85" hidden="false" customHeight="false" outlineLevel="0" collapsed="false">
      <c r="A32" s="15" t="s">
        <v>163</v>
      </c>
      <c r="B32" s="16" t="s">
        <v>164</v>
      </c>
      <c r="C32" s="16" t="s">
        <v>165</v>
      </c>
      <c r="D32" s="15" t="s">
        <v>147</v>
      </c>
      <c r="E32" s="16" t="s">
        <v>166</v>
      </c>
      <c r="F32" s="16"/>
      <c r="G32" s="15" t="s">
        <v>12</v>
      </c>
      <c r="H32" s="16"/>
      <c r="I32" s="15"/>
      <c r="J32" s="15" t="s">
        <v>48</v>
      </c>
      <c r="K32" s="16" t="s">
        <v>167</v>
      </c>
    </row>
    <row r="33" customFormat="false" ht="23.85" hidden="false" customHeight="false" outlineLevel="0" collapsed="false">
      <c r="A33" s="15" t="s">
        <v>168</v>
      </c>
      <c r="B33" s="16" t="s">
        <v>102</v>
      </c>
      <c r="C33" s="16" t="s">
        <v>169</v>
      </c>
      <c r="D33" s="15" t="s">
        <v>160</v>
      </c>
      <c r="E33" s="16" t="s">
        <v>170</v>
      </c>
      <c r="F33" s="16"/>
      <c r="G33" s="15" t="s">
        <v>12</v>
      </c>
      <c r="H33" s="16"/>
      <c r="I33" s="15"/>
      <c r="J33" s="15" t="s">
        <v>48</v>
      </c>
      <c r="K33" s="16" t="s">
        <v>167</v>
      </c>
    </row>
    <row r="34" customFormat="false" ht="23.85" hidden="false" customHeight="false" outlineLevel="0" collapsed="false">
      <c r="A34" s="15" t="s">
        <v>171</v>
      </c>
      <c r="B34" s="16" t="s">
        <v>102</v>
      </c>
      <c r="C34" s="16" t="s">
        <v>172</v>
      </c>
      <c r="D34" s="15" t="s">
        <v>147</v>
      </c>
      <c r="E34" s="16" t="s">
        <v>173</v>
      </c>
      <c r="F34" s="16"/>
      <c r="G34" s="15" t="s">
        <v>12</v>
      </c>
      <c r="H34" s="16"/>
      <c r="I34" s="15"/>
      <c r="J34" s="15" t="s">
        <v>48</v>
      </c>
      <c r="K34" s="16" t="s">
        <v>167</v>
      </c>
    </row>
    <row r="35" customFormat="false" ht="23.85" hidden="false" customHeight="false" outlineLevel="0" collapsed="false">
      <c r="A35" s="15" t="s">
        <v>174</v>
      </c>
      <c r="B35" s="16" t="s">
        <v>94</v>
      </c>
      <c r="C35" s="16" t="s">
        <v>175</v>
      </c>
      <c r="D35" s="15" t="s">
        <v>147</v>
      </c>
      <c r="E35" s="16" t="s">
        <v>176</v>
      </c>
      <c r="F35" s="16"/>
      <c r="G35" s="15" t="s">
        <v>12</v>
      </c>
      <c r="H35" s="16"/>
      <c r="I35" s="15"/>
      <c r="J35" s="15" t="s">
        <v>48</v>
      </c>
      <c r="K35" s="16" t="s">
        <v>167</v>
      </c>
    </row>
    <row r="36" customFormat="false" ht="23.85" hidden="false" customHeight="false" outlineLevel="0" collapsed="false">
      <c r="A36" s="15" t="s">
        <v>177</v>
      </c>
      <c r="B36" s="16" t="s">
        <v>178</v>
      </c>
      <c r="C36" s="16" t="s">
        <v>179</v>
      </c>
      <c r="D36" s="15" t="s">
        <v>147</v>
      </c>
      <c r="E36" s="16" t="s">
        <v>180</v>
      </c>
      <c r="F36" s="16"/>
      <c r="G36" s="15" t="s">
        <v>12</v>
      </c>
      <c r="H36" s="16"/>
      <c r="I36" s="15"/>
      <c r="J36" s="15" t="s">
        <v>48</v>
      </c>
      <c r="K36" s="16" t="s">
        <v>167</v>
      </c>
    </row>
    <row r="37" customFormat="false" ht="23.85" hidden="false" customHeight="false" outlineLevel="0" collapsed="false">
      <c r="A37" s="15" t="s">
        <v>181</v>
      </c>
      <c r="B37" s="16" t="s">
        <v>102</v>
      </c>
      <c r="C37" s="16" t="s">
        <v>182</v>
      </c>
      <c r="D37" s="15" t="s">
        <v>147</v>
      </c>
      <c r="E37" s="16" t="s">
        <v>183</v>
      </c>
      <c r="F37" s="16"/>
      <c r="G37" s="15" t="s">
        <v>12</v>
      </c>
      <c r="H37" s="16"/>
      <c r="I37" s="15"/>
      <c r="J37" s="15" t="s">
        <v>48</v>
      </c>
      <c r="K37" s="16" t="s">
        <v>167</v>
      </c>
    </row>
    <row r="38" customFormat="false" ht="35.05" hidden="false" customHeight="false" outlineLevel="0" collapsed="false">
      <c r="A38" s="15" t="s">
        <v>184</v>
      </c>
      <c r="B38" s="16" t="s">
        <v>102</v>
      </c>
      <c r="C38" s="16" t="s">
        <v>185</v>
      </c>
      <c r="D38" s="15" t="s">
        <v>147</v>
      </c>
      <c r="E38" s="16" t="s">
        <v>186</v>
      </c>
      <c r="F38" s="16"/>
      <c r="G38" s="15" t="s">
        <v>12</v>
      </c>
      <c r="H38" s="16"/>
      <c r="I38" s="15"/>
      <c r="J38" s="15" t="s">
        <v>162</v>
      </c>
      <c r="K38" s="16"/>
    </row>
    <row r="39" customFormat="false" ht="15" hidden="false" customHeight="false" outlineLevel="0" collapsed="false">
      <c r="A39" s="15" t="s">
        <v>187</v>
      </c>
      <c r="B39" s="16" t="s">
        <v>188</v>
      </c>
      <c r="C39" s="16" t="s">
        <v>189</v>
      </c>
      <c r="D39" s="15" t="s">
        <v>147</v>
      </c>
      <c r="E39" s="16" t="s">
        <v>190</v>
      </c>
      <c r="F39" s="16"/>
      <c r="G39" s="15" t="s">
        <v>12</v>
      </c>
      <c r="H39" s="16"/>
      <c r="I39" s="15"/>
      <c r="J39" s="15" t="s">
        <v>48</v>
      </c>
      <c r="K39" s="16" t="s">
        <v>153</v>
      </c>
    </row>
    <row r="40" customFormat="false" ht="15" hidden="false" customHeight="false" outlineLevel="0" collapsed="false">
      <c r="A40" s="15" t="s">
        <v>191</v>
      </c>
      <c r="B40" s="16" t="s">
        <v>102</v>
      </c>
      <c r="C40" s="16" t="s">
        <v>192</v>
      </c>
      <c r="D40" s="15" t="s">
        <v>147</v>
      </c>
      <c r="E40" s="16" t="s">
        <v>193</v>
      </c>
      <c r="F40" s="16"/>
      <c r="G40" s="15" t="s">
        <v>12</v>
      </c>
      <c r="H40" s="16"/>
      <c r="I40" s="15"/>
      <c r="J40" s="15" t="s">
        <v>48</v>
      </c>
      <c r="K40" s="16" t="s">
        <v>157</v>
      </c>
    </row>
    <row r="41" customFormat="false" ht="15" hidden="false" customHeight="false" outlineLevel="0" collapsed="false">
      <c r="A41" s="15" t="s">
        <v>194</v>
      </c>
      <c r="B41" s="16" t="s">
        <v>102</v>
      </c>
      <c r="C41" s="16" t="s">
        <v>195</v>
      </c>
      <c r="D41" s="15" t="s">
        <v>147</v>
      </c>
      <c r="E41" s="16" t="s">
        <v>196</v>
      </c>
      <c r="F41" s="16"/>
      <c r="G41" s="15" t="s">
        <v>12</v>
      </c>
      <c r="H41" s="16"/>
      <c r="I41" s="15"/>
      <c r="J41" s="15" t="s">
        <v>48</v>
      </c>
      <c r="K41" s="16" t="s">
        <v>157</v>
      </c>
    </row>
    <row r="42" customFormat="false" ht="15" hidden="false" customHeight="false" outlineLevel="0" collapsed="false">
      <c r="A42" s="15" t="s">
        <v>197</v>
      </c>
      <c r="B42" s="16" t="s">
        <v>198</v>
      </c>
      <c r="C42" s="16" t="s">
        <v>199</v>
      </c>
      <c r="D42" s="15" t="s">
        <v>147</v>
      </c>
      <c r="E42" s="16" t="s">
        <v>200</v>
      </c>
      <c r="F42" s="16"/>
      <c r="G42" s="15" t="s">
        <v>12</v>
      </c>
      <c r="H42" s="16"/>
      <c r="I42" s="15"/>
      <c r="J42" s="15" t="s">
        <v>48</v>
      </c>
      <c r="K42" s="16" t="s">
        <v>157</v>
      </c>
    </row>
    <row r="43" customFormat="false" ht="15" hidden="false" customHeight="false" outlineLevel="0" collapsed="false">
      <c r="A43" s="15" t="s">
        <v>201</v>
      </c>
      <c r="B43" s="16" t="s">
        <v>102</v>
      </c>
      <c r="C43" s="16" t="s">
        <v>202</v>
      </c>
      <c r="D43" s="15" t="s">
        <v>147</v>
      </c>
      <c r="E43" s="16" t="s">
        <v>203</v>
      </c>
      <c r="F43" s="16"/>
      <c r="G43" s="15" t="s">
        <v>12</v>
      </c>
      <c r="H43" s="16"/>
      <c r="I43" s="15"/>
      <c r="J43" s="15" t="s">
        <v>48</v>
      </c>
      <c r="K43" s="16" t="s">
        <v>157</v>
      </c>
    </row>
    <row r="44" customFormat="false" ht="15" hidden="false" customHeight="false" outlineLevel="0" collapsed="false">
      <c r="A44" s="15" t="s">
        <v>204</v>
      </c>
      <c r="B44" s="16" t="s">
        <v>136</v>
      </c>
      <c r="C44" s="16" t="s">
        <v>205</v>
      </c>
      <c r="D44" s="15" t="s">
        <v>147</v>
      </c>
      <c r="E44" s="16" t="s">
        <v>206</v>
      </c>
      <c r="F44" s="16"/>
      <c r="G44" s="15" t="s">
        <v>12</v>
      </c>
      <c r="H44" s="16"/>
      <c r="I44" s="15"/>
      <c r="J44" s="15" t="s">
        <v>162</v>
      </c>
      <c r="K44" s="16" t="s">
        <v>207</v>
      </c>
    </row>
    <row r="45" customFormat="false" ht="15" hidden="false" customHeight="false" outlineLevel="0" collapsed="false">
      <c r="A45" s="15" t="s">
        <v>208</v>
      </c>
      <c r="B45" s="16" t="s">
        <v>209</v>
      </c>
      <c r="C45" s="16" t="s">
        <v>210</v>
      </c>
      <c r="D45" s="15" t="s">
        <v>147</v>
      </c>
      <c r="E45" s="16" t="s">
        <v>211</v>
      </c>
      <c r="F45" s="16"/>
      <c r="G45" s="15" t="s">
        <v>12</v>
      </c>
      <c r="H45" s="16"/>
      <c r="I45" s="15"/>
      <c r="J45" s="15" t="s">
        <v>48</v>
      </c>
      <c r="K45" s="16" t="s">
        <v>157</v>
      </c>
    </row>
    <row r="46" customFormat="false" ht="23.85" hidden="false" customHeight="false" outlineLevel="0" collapsed="false">
      <c r="A46" s="15" t="s">
        <v>212</v>
      </c>
      <c r="B46" s="16" t="s">
        <v>51</v>
      </c>
      <c r="C46" s="16" t="s">
        <v>213</v>
      </c>
      <c r="D46" s="15" t="s">
        <v>147</v>
      </c>
      <c r="E46" s="16" t="s">
        <v>214</v>
      </c>
      <c r="F46" s="16"/>
      <c r="G46" s="15" t="s">
        <v>12</v>
      </c>
      <c r="H46" s="16"/>
      <c r="I46" s="15"/>
      <c r="J46" s="15" t="s">
        <v>48</v>
      </c>
      <c r="K46" s="16" t="s">
        <v>149</v>
      </c>
    </row>
    <row r="47" customFormat="false" ht="35.05" hidden="false" customHeight="false" outlineLevel="0" collapsed="false">
      <c r="A47" s="15" t="s">
        <v>215</v>
      </c>
      <c r="B47" s="16" t="s">
        <v>216</v>
      </c>
      <c r="C47" s="16" t="s">
        <v>217</v>
      </c>
      <c r="D47" s="15" t="s">
        <v>147</v>
      </c>
      <c r="E47" s="16" t="s">
        <v>218</v>
      </c>
      <c r="F47" s="16" t="s">
        <v>219</v>
      </c>
      <c r="G47" s="15" t="s">
        <v>8</v>
      </c>
      <c r="H47" s="16" t="s">
        <v>220</v>
      </c>
      <c r="I47" s="15"/>
      <c r="J47" s="15" t="s">
        <v>48</v>
      </c>
      <c r="K47" s="16" t="s">
        <v>153</v>
      </c>
    </row>
    <row r="48" customFormat="false" ht="23.85" hidden="false" customHeight="false" outlineLevel="0" collapsed="false">
      <c r="A48" s="15" t="s">
        <v>221</v>
      </c>
      <c r="B48" s="16" t="s">
        <v>222</v>
      </c>
      <c r="C48" s="16" t="s">
        <v>223</v>
      </c>
      <c r="D48" s="15" t="s">
        <v>147</v>
      </c>
      <c r="E48" s="16" t="s">
        <v>224</v>
      </c>
      <c r="F48" s="16" t="s">
        <v>225</v>
      </c>
      <c r="G48" s="15" t="s">
        <v>8</v>
      </c>
      <c r="H48" s="16" t="s">
        <v>220</v>
      </c>
      <c r="I48" s="15"/>
      <c r="J48" s="15" t="s">
        <v>48</v>
      </c>
      <c r="K48" s="16" t="s">
        <v>153</v>
      </c>
    </row>
    <row r="49" customFormat="false" ht="23.85" hidden="false" customHeight="false" outlineLevel="0" collapsed="false">
      <c r="A49" s="15" t="s">
        <v>226</v>
      </c>
      <c r="B49" s="16" t="s">
        <v>102</v>
      </c>
      <c r="C49" s="16" t="s">
        <v>227</v>
      </c>
      <c r="D49" s="15" t="s">
        <v>147</v>
      </c>
      <c r="E49" s="16" t="s">
        <v>228</v>
      </c>
      <c r="F49" s="16"/>
      <c r="G49" s="15" t="s">
        <v>12</v>
      </c>
      <c r="H49" s="16"/>
      <c r="I49" s="15"/>
      <c r="J49" s="15" t="s">
        <v>162</v>
      </c>
      <c r="K49" s="16"/>
    </row>
  </sheetData>
  <autoFilter ref="A1:K49"/>
  <conditionalFormatting sqref="G2:G500">
    <cfRule type="cellIs" priority="2" operator="equal" aboveAverage="0" equalAverage="0" bottom="0" percent="0" rank="0" text="" dxfId="8">
      <formula>"Passou"</formula>
    </cfRule>
    <cfRule type="cellIs" priority="3" operator="equal" aboveAverage="0" equalAverage="0" bottom="0" percent="0" rank="0" text="" dxfId="9">
      <formula>"Falhou"</formula>
    </cfRule>
    <cfRule type="cellIs" priority="4" operator="equal" aboveAverage="0" equalAverage="0" bottom="0" percent="0" rank="0" text="" dxfId="10">
      <formula>"Pendente"</formula>
    </cfRule>
  </conditionalFormatting>
  <dataValidations count="1">
    <dataValidation allowBlank="false" error="Escolha: Pendente, Passou ou Falhou" errorStyle="stop" errorTitle="Status inválido" operator="between" showDropDown="false" showErrorMessage="false" showInputMessage="false" sqref="G2:G500" type="list">
      <formula1>"Pendente,Passou,Falhou"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22"/>
    <col collapsed="false" customWidth="true" hidden="false" outlineLevel="0" max="8" min="8" style="0" width="10"/>
  </cols>
  <sheetData>
    <row r="1" customFormat="false" ht="24" hidden="false" customHeight="true" outlineLevel="0" collapsed="false">
      <c r="A1" s="13" t="s">
        <v>229</v>
      </c>
      <c r="B1" s="13" t="s">
        <v>35</v>
      </c>
      <c r="C1" s="13" t="s">
        <v>230</v>
      </c>
      <c r="D1" s="13" t="s">
        <v>231</v>
      </c>
      <c r="E1" s="14" t="s">
        <v>38</v>
      </c>
      <c r="F1" s="14" t="s">
        <v>232</v>
      </c>
      <c r="G1" s="13" t="s">
        <v>233</v>
      </c>
      <c r="H1" s="14" t="s">
        <v>40</v>
      </c>
    </row>
    <row r="2" customFormat="false" ht="23.85" hidden="false" customHeight="false" outlineLevel="0" collapsed="false">
      <c r="A2" s="15" t="s">
        <v>234</v>
      </c>
      <c r="B2" s="15" t="s">
        <v>147</v>
      </c>
      <c r="C2" s="16" t="s">
        <v>235</v>
      </c>
      <c r="D2" s="16" t="s">
        <v>236</v>
      </c>
      <c r="E2" s="15" t="s">
        <v>12</v>
      </c>
      <c r="F2" s="16"/>
      <c r="G2" s="16" t="s">
        <v>237</v>
      </c>
      <c r="H2" s="15"/>
    </row>
    <row r="3" customFormat="false" ht="15" hidden="false" customHeight="false" outlineLevel="0" collapsed="false">
      <c r="A3" s="15" t="s">
        <v>238</v>
      </c>
      <c r="B3" s="15" t="s">
        <v>147</v>
      </c>
      <c r="C3" s="16" t="s">
        <v>235</v>
      </c>
      <c r="D3" s="16" t="s">
        <v>239</v>
      </c>
      <c r="E3" s="15" t="s">
        <v>12</v>
      </c>
      <c r="F3" s="16"/>
      <c r="G3" s="16" t="s">
        <v>240</v>
      </c>
      <c r="H3" s="15"/>
    </row>
    <row r="4" customFormat="false" ht="15" hidden="false" customHeight="false" outlineLevel="0" collapsed="false">
      <c r="A4" s="15" t="s">
        <v>241</v>
      </c>
      <c r="B4" s="15" t="s">
        <v>147</v>
      </c>
      <c r="C4" s="16" t="s">
        <v>235</v>
      </c>
      <c r="D4" s="16" t="s">
        <v>242</v>
      </c>
      <c r="E4" s="15" t="s">
        <v>12</v>
      </c>
      <c r="F4" s="16"/>
      <c r="G4" s="16" t="s">
        <v>243</v>
      </c>
      <c r="H4" s="15"/>
    </row>
    <row r="5" customFormat="false" ht="23.85" hidden="false" customHeight="false" outlineLevel="0" collapsed="false">
      <c r="A5" s="15" t="s">
        <v>244</v>
      </c>
      <c r="B5" s="15" t="s">
        <v>147</v>
      </c>
      <c r="C5" s="16" t="s">
        <v>235</v>
      </c>
      <c r="D5" s="16" t="s">
        <v>245</v>
      </c>
      <c r="E5" s="15" t="s">
        <v>12</v>
      </c>
      <c r="F5" s="16"/>
      <c r="G5" s="16" t="s">
        <v>246</v>
      </c>
      <c r="H5" s="15"/>
    </row>
    <row r="6" customFormat="false" ht="23.85" hidden="false" customHeight="false" outlineLevel="0" collapsed="false">
      <c r="A6" s="15" t="s">
        <v>247</v>
      </c>
      <c r="B6" s="15" t="s">
        <v>147</v>
      </c>
      <c r="C6" s="16" t="s">
        <v>235</v>
      </c>
      <c r="D6" s="16" t="s">
        <v>248</v>
      </c>
      <c r="E6" s="15" t="s">
        <v>12</v>
      </c>
      <c r="F6" s="16"/>
      <c r="G6" s="16" t="s">
        <v>249</v>
      </c>
      <c r="H6" s="15"/>
    </row>
    <row r="7" customFormat="false" ht="23.85" hidden="false" customHeight="false" outlineLevel="0" collapsed="false">
      <c r="A7" s="15" t="s">
        <v>250</v>
      </c>
      <c r="B7" s="15" t="s">
        <v>147</v>
      </c>
      <c r="C7" s="16" t="s">
        <v>235</v>
      </c>
      <c r="D7" s="16" t="s">
        <v>251</v>
      </c>
      <c r="E7" s="15" t="s">
        <v>12</v>
      </c>
      <c r="F7" s="16"/>
      <c r="G7" s="16" t="s">
        <v>252</v>
      </c>
      <c r="H7" s="15"/>
    </row>
    <row r="8" customFormat="false" ht="15" hidden="false" customHeight="false" outlineLevel="0" collapsed="false">
      <c r="A8" s="15" t="s">
        <v>253</v>
      </c>
      <c r="B8" s="15" t="s">
        <v>147</v>
      </c>
      <c r="C8" s="16" t="s">
        <v>254</v>
      </c>
      <c r="D8" s="16" t="s">
        <v>255</v>
      </c>
      <c r="E8" s="15" t="s">
        <v>12</v>
      </c>
      <c r="F8" s="16"/>
      <c r="G8" s="16" t="s">
        <v>256</v>
      </c>
      <c r="H8" s="15"/>
    </row>
    <row r="9" customFormat="false" ht="15" hidden="false" customHeight="false" outlineLevel="0" collapsed="false">
      <c r="A9" s="15" t="s">
        <v>257</v>
      </c>
      <c r="B9" s="15" t="s">
        <v>147</v>
      </c>
      <c r="C9" s="16" t="s">
        <v>254</v>
      </c>
      <c r="D9" s="16" t="s">
        <v>258</v>
      </c>
      <c r="E9" s="15" t="s">
        <v>12</v>
      </c>
      <c r="F9" s="16"/>
      <c r="G9" s="16" t="s">
        <v>259</v>
      </c>
      <c r="H9" s="15"/>
    </row>
    <row r="10" customFormat="false" ht="15" hidden="false" customHeight="false" outlineLevel="0" collapsed="false">
      <c r="A10" s="15" t="s">
        <v>260</v>
      </c>
      <c r="B10" s="15" t="s">
        <v>147</v>
      </c>
      <c r="C10" s="16" t="s">
        <v>254</v>
      </c>
      <c r="D10" s="16" t="s">
        <v>261</v>
      </c>
      <c r="E10" s="15" t="s">
        <v>12</v>
      </c>
      <c r="F10" s="16"/>
      <c r="G10" s="16" t="s">
        <v>262</v>
      </c>
      <c r="H10" s="15"/>
    </row>
    <row r="11" customFormat="false" ht="15" hidden="false" customHeight="false" outlineLevel="0" collapsed="false">
      <c r="A11" s="15" t="s">
        <v>263</v>
      </c>
      <c r="B11" s="15" t="s">
        <v>147</v>
      </c>
      <c r="C11" s="16" t="s">
        <v>254</v>
      </c>
      <c r="D11" s="16" t="s">
        <v>264</v>
      </c>
      <c r="E11" s="15" t="s">
        <v>12</v>
      </c>
      <c r="F11" s="16"/>
      <c r="G11" s="16" t="s">
        <v>265</v>
      </c>
      <c r="H11" s="15"/>
    </row>
    <row r="12" customFormat="false" ht="15" hidden="false" customHeight="false" outlineLevel="0" collapsed="false">
      <c r="A12" s="15" t="s">
        <v>266</v>
      </c>
      <c r="B12" s="15" t="s">
        <v>147</v>
      </c>
      <c r="C12" s="16" t="s">
        <v>254</v>
      </c>
      <c r="D12" s="16" t="s">
        <v>267</v>
      </c>
      <c r="E12" s="15" t="s">
        <v>12</v>
      </c>
      <c r="F12" s="16"/>
      <c r="G12" s="16" t="s">
        <v>268</v>
      </c>
      <c r="H12" s="15"/>
    </row>
    <row r="13" customFormat="false" ht="15" hidden="false" customHeight="false" outlineLevel="0" collapsed="false">
      <c r="A13" s="15" t="s">
        <v>269</v>
      </c>
      <c r="B13" s="15" t="s">
        <v>147</v>
      </c>
      <c r="C13" s="16" t="s">
        <v>270</v>
      </c>
      <c r="D13" s="16" t="s">
        <v>271</v>
      </c>
      <c r="E13" s="15" t="s">
        <v>12</v>
      </c>
      <c r="F13" s="16"/>
      <c r="G13" s="16" t="s">
        <v>272</v>
      </c>
      <c r="H13" s="15"/>
    </row>
    <row r="14" customFormat="false" ht="15" hidden="false" customHeight="false" outlineLevel="0" collapsed="false">
      <c r="A14" s="15" t="s">
        <v>273</v>
      </c>
      <c r="B14" s="15" t="s">
        <v>147</v>
      </c>
      <c r="C14" s="16" t="s">
        <v>270</v>
      </c>
      <c r="D14" s="16" t="s">
        <v>274</v>
      </c>
      <c r="E14" s="15" t="s">
        <v>12</v>
      </c>
      <c r="F14" s="16"/>
      <c r="G14" s="16" t="s">
        <v>275</v>
      </c>
      <c r="H14" s="15"/>
    </row>
    <row r="15" customFormat="false" ht="15" hidden="false" customHeight="false" outlineLevel="0" collapsed="false">
      <c r="A15" s="15" t="s">
        <v>276</v>
      </c>
      <c r="B15" s="15" t="s">
        <v>147</v>
      </c>
      <c r="C15" s="16" t="s">
        <v>270</v>
      </c>
      <c r="D15" s="16" t="s">
        <v>277</v>
      </c>
      <c r="E15" s="15" t="s">
        <v>12</v>
      </c>
      <c r="F15" s="16"/>
      <c r="G15" s="16" t="s">
        <v>278</v>
      </c>
      <c r="H15" s="15"/>
    </row>
    <row r="16" customFormat="false" ht="15" hidden="false" customHeight="false" outlineLevel="0" collapsed="false">
      <c r="A16" s="15" t="s">
        <v>279</v>
      </c>
      <c r="B16" s="15" t="s">
        <v>147</v>
      </c>
      <c r="C16" s="16" t="s">
        <v>270</v>
      </c>
      <c r="D16" s="16" t="s">
        <v>280</v>
      </c>
      <c r="E16" s="15" t="s">
        <v>12</v>
      </c>
      <c r="F16" s="16"/>
      <c r="G16" s="16" t="s">
        <v>281</v>
      </c>
      <c r="H16" s="15"/>
    </row>
    <row r="17" customFormat="false" ht="23.85" hidden="false" customHeight="false" outlineLevel="0" collapsed="false">
      <c r="A17" s="15" t="s">
        <v>282</v>
      </c>
      <c r="B17" s="15" t="s">
        <v>147</v>
      </c>
      <c r="C17" s="16" t="s">
        <v>283</v>
      </c>
      <c r="D17" s="16" t="s">
        <v>284</v>
      </c>
      <c r="E17" s="15" t="s">
        <v>12</v>
      </c>
      <c r="F17" s="16"/>
      <c r="G17" s="16" t="s">
        <v>285</v>
      </c>
      <c r="H17" s="15"/>
    </row>
    <row r="18" customFormat="false" ht="23.85" hidden="false" customHeight="false" outlineLevel="0" collapsed="false">
      <c r="A18" s="15" t="s">
        <v>286</v>
      </c>
      <c r="B18" s="15" t="s">
        <v>147</v>
      </c>
      <c r="C18" s="16" t="s">
        <v>283</v>
      </c>
      <c r="D18" s="16" t="s">
        <v>287</v>
      </c>
      <c r="E18" s="15" t="s">
        <v>12</v>
      </c>
      <c r="F18" s="16"/>
      <c r="G18" s="16" t="s">
        <v>288</v>
      </c>
      <c r="H18" s="15"/>
    </row>
    <row r="19" customFormat="false" ht="23.85" hidden="false" customHeight="false" outlineLevel="0" collapsed="false">
      <c r="A19" s="15" t="s">
        <v>289</v>
      </c>
      <c r="B19" s="15" t="s">
        <v>147</v>
      </c>
      <c r="C19" s="16" t="s">
        <v>283</v>
      </c>
      <c r="D19" s="16" t="s">
        <v>290</v>
      </c>
      <c r="E19" s="15" t="s">
        <v>12</v>
      </c>
      <c r="F19" s="16"/>
      <c r="G19" s="16" t="s">
        <v>291</v>
      </c>
      <c r="H19" s="15"/>
    </row>
    <row r="20" customFormat="false" ht="23.85" hidden="false" customHeight="false" outlineLevel="0" collapsed="false">
      <c r="A20" s="15" t="s">
        <v>292</v>
      </c>
      <c r="B20" s="15" t="s">
        <v>147</v>
      </c>
      <c r="C20" s="16" t="s">
        <v>283</v>
      </c>
      <c r="D20" s="16" t="s">
        <v>293</v>
      </c>
      <c r="E20" s="15" t="s">
        <v>12</v>
      </c>
      <c r="F20" s="16"/>
      <c r="G20" s="16" t="s">
        <v>294</v>
      </c>
      <c r="H20" s="15"/>
    </row>
    <row r="21" customFormat="false" ht="35.05" hidden="false" customHeight="false" outlineLevel="0" collapsed="false">
      <c r="A21" s="15" t="s">
        <v>295</v>
      </c>
      <c r="B21" s="15" t="s">
        <v>147</v>
      </c>
      <c r="C21" s="16" t="s">
        <v>296</v>
      </c>
      <c r="D21" s="16" t="s">
        <v>297</v>
      </c>
      <c r="E21" s="15" t="s">
        <v>12</v>
      </c>
      <c r="F21" s="16"/>
      <c r="G21" s="16" t="s">
        <v>298</v>
      </c>
      <c r="H21" s="15"/>
    </row>
    <row r="22" customFormat="false" ht="23.85" hidden="false" customHeight="false" outlineLevel="0" collapsed="false">
      <c r="A22" s="15" t="s">
        <v>299</v>
      </c>
      <c r="B22" s="15" t="s">
        <v>147</v>
      </c>
      <c r="C22" s="16" t="s">
        <v>296</v>
      </c>
      <c r="D22" s="16" t="s">
        <v>300</v>
      </c>
      <c r="E22" s="15" t="s">
        <v>12</v>
      </c>
      <c r="F22" s="16"/>
      <c r="G22" s="16" t="s">
        <v>301</v>
      </c>
      <c r="H22" s="15"/>
    </row>
    <row r="23" customFormat="false" ht="23.85" hidden="false" customHeight="false" outlineLevel="0" collapsed="false">
      <c r="A23" s="15" t="s">
        <v>302</v>
      </c>
      <c r="B23" s="15" t="s">
        <v>147</v>
      </c>
      <c r="C23" s="16" t="s">
        <v>296</v>
      </c>
      <c r="D23" s="16" t="s">
        <v>303</v>
      </c>
      <c r="E23" s="15" t="s">
        <v>12</v>
      </c>
      <c r="F23" s="16"/>
      <c r="G23" s="16" t="s">
        <v>304</v>
      </c>
      <c r="H23" s="15"/>
    </row>
    <row r="24" customFormat="false" ht="23.85" hidden="false" customHeight="false" outlineLevel="0" collapsed="false">
      <c r="A24" s="15" t="s">
        <v>305</v>
      </c>
      <c r="B24" s="15" t="s">
        <v>147</v>
      </c>
      <c r="C24" s="16" t="s">
        <v>296</v>
      </c>
      <c r="D24" s="16" t="s">
        <v>306</v>
      </c>
      <c r="E24" s="15" t="s">
        <v>12</v>
      </c>
      <c r="F24" s="16"/>
      <c r="G24" s="16" t="s">
        <v>307</v>
      </c>
      <c r="H24" s="15"/>
    </row>
    <row r="25" customFormat="false" ht="23.85" hidden="false" customHeight="false" outlineLevel="0" collapsed="false">
      <c r="A25" s="15" t="s">
        <v>308</v>
      </c>
      <c r="B25" s="15" t="s">
        <v>147</v>
      </c>
      <c r="C25" s="16" t="s">
        <v>296</v>
      </c>
      <c r="D25" s="16" t="s">
        <v>309</v>
      </c>
      <c r="E25" s="15" t="s">
        <v>12</v>
      </c>
      <c r="F25" s="16"/>
      <c r="G25" s="16" t="s">
        <v>310</v>
      </c>
      <c r="H25" s="15"/>
    </row>
    <row r="26" customFormat="false" ht="23.85" hidden="false" customHeight="false" outlineLevel="0" collapsed="false">
      <c r="A26" s="15" t="s">
        <v>311</v>
      </c>
      <c r="B26" s="15" t="s">
        <v>147</v>
      </c>
      <c r="C26" s="16" t="s">
        <v>296</v>
      </c>
      <c r="D26" s="16" t="s">
        <v>312</v>
      </c>
      <c r="E26" s="15" t="s">
        <v>12</v>
      </c>
      <c r="F26" s="16"/>
      <c r="G26" s="16" t="s">
        <v>313</v>
      </c>
      <c r="H26" s="15"/>
    </row>
    <row r="27" customFormat="false" ht="23.85" hidden="false" customHeight="false" outlineLevel="0" collapsed="false">
      <c r="A27" s="15" t="s">
        <v>314</v>
      </c>
      <c r="B27" s="15" t="s">
        <v>147</v>
      </c>
      <c r="C27" s="16" t="s">
        <v>296</v>
      </c>
      <c r="D27" s="16" t="s">
        <v>315</v>
      </c>
      <c r="E27" s="15" t="s">
        <v>12</v>
      </c>
      <c r="F27" s="16"/>
      <c r="G27" s="16" t="s">
        <v>316</v>
      </c>
      <c r="H27" s="15"/>
    </row>
    <row r="28" customFormat="false" ht="15" hidden="false" customHeight="false" outlineLevel="0" collapsed="false">
      <c r="A28" s="15" t="s">
        <v>317</v>
      </c>
      <c r="B28" s="15" t="s">
        <v>147</v>
      </c>
      <c r="C28" s="16" t="s">
        <v>318</v>
      </c>
      <c r="D28" s="16" t="s">
        <v>319</v>
      </c>
      <c r="E28" s="15" t="s">
        <v>12</v>
      </c>
      <c r="F28" s="16"/>
      <c r="G28" s="16" t="s">
        <v>320</v>
      </c>
      <c r="H28" s="15"/>
    </row>
    <row r="29" customFormat="false" ht="15" hidden="false" customHeight="false" outlineLevel="0" collapsed="false">
      <c r="A29" s="15" t="s">
        <v>321</v>
      </c>
      <c r="B29" s="15" t="s">
        <v>147</v>
      </c>
      <c r="C29" s="16" t="s">
        <v>318</v>
      </c>
      <c r="D29" s="16" t="s">
        <v>322</v>
      </c>
      <c r="E29" s="15" t="s">
        <v>12</v>
      </c>
      <c r="F29" s="16"/>
      <c r="G29" s="16" t="s">
        <v>323</v>
      </c>
      <c r="H29" s="15"/>
    </row>
    <row r="30" customFormat="false" ht="15" hidden="false" customHeight="false" outlineLevel="0" collapsed="false">
      <c r="A30" s="15" t="s">
        <v>324</v>
      </c>
      <c r="B30" s="15" t="s">
        <v>147</v>
      </c>
      <c r="C30" s="16" t="s">
        <v>318</v>
      </c>
      <c r="D30" s="16" t="s">
        <v>325</v>
      </c>
      <c r="E30" s="15" t="s">
        <v>12</v>
      </c>
      <c r="F30" s="16"/>
      <c r="G30" s="16" t="s">
        <v>326</v>
      </c>
      <c r="H30" s="15"/>
    </row>
    <row r="31" customFormat="false" ht="15" hidden="false" customHeight="false" outlineLevel="0" collapsed="false">
      <c r="A31" s="15" t="s">
        <v>327</v>
      </c>
      <c r="B31" s="15" t="s">
        <v>147</v>
      </c>
      <c r="C31" s="16" t="s">
        <v>318</v>
      </c>
      <c r="D31" s="16" t="s">
        <v>328</v>
      </c>
      <c r="E31" s="15" t="s">
        <v>12</v>
      </c>
      <c r="F31" s="16"/>
      <c r="G31" s="16" t="s">
        <v>329</v>
      </c>
      <c r="H31" s="15"/>
    </row>
    <row r="32" customFormat="false" ht="15" hidden="false" customHeight="false" outlineLevel="0" collapsed="false">
      <c r="A32" s="15" t="s">
        <v>330</v>
      </c>
      <c r="B32" s="15" t="s">
        <v>147</v>
      </c>
      <c r="C32" s="16" t="s">
        <v>318</v>
      </c>
      <c r="D32" s="16" t="s">
        <v>331</v>
      </c>
      <c r="E32" s="15" t="s">
        <v>12</v>
      </c>
      <c r="F32" s="16"/>
      <c r="G32" s="16" t="s">
        <v>332</v>
      </c>
      <c r="H32" s="15"/>
    </row>
    <row r="33" customFormat="false" ht="15" hidden="false" customHeight="false" outlineLevel="0" collapsed="false">
      <c r="A33" s="15" t="s">
        <v>333</v>
      </c>
      <c r="B33" s="15" t="s">
        <v>147</v>
      </c>
      <c r="C33" s="16" t="s">
        <v>334</v>
      </c>
      <c r="D33" s="16" t="s">
        <v>335</v>
      </c>
      <c r="E33" s="15" t="s">
        <v>12</v>
      </c>
      <c r="F33" s="16"/>
      <c r="G33" s="16" t="s">
        <v>336</v>
      </c>
      <c r="H33" s="15"/>
    </row>
    <row r="34" customFormat="false" ht="15" hidden="false" customHeight="false" outlineLevel="0" collapsed="false">
      <c r="A34" s="15" t="s">
        <v>337</v>
      </c>
      <c r="B34" s="15" t="s">
        <v>147</v>
      </c>
      <c r="C34" s="16" t="s">
        <v>334</v>
      </c>
      <c r="D34" s="16" t="s">
        <v>338</v>
      </c>
      <c r="E34" s="15" t="s">
        <v>12</v>
      </c>
      <c r="F34" s="16"/>
      <c r="G34" s="16" t="s">
        <v>339</v>
      </c>
      <c r="H34" s="15"/>
    </row>
    <row r="35" customFormat="false" ht="15" hidden="false" customHeight="false" outlineLevel="0" collapsed="false">
      <c r="A35" s="15" t="s">
        <v>340</v>
      </c>
      <c r="B35" s="15" t="s">
        <v>79</v>
      </c>
      <c r="C35" s="16" t="s">
        <v>341</v>
      </c>
      <c r="D35" s="16" t="s">
        <v>342</v>
      </c>
      <c r="E35" s="15" t="s">
        <v>12</v>
      </c>
      <c r="F35" s="16"/>
      <c r="G35" s="16" t="s">
        <v>343</v>
      </c>
      <c r="H35" s="15"/>
    </row>
    <row r="36" customFormat="false" ht="15" hidden="false" customHeight="false" outlineLevel="0" collapsed="false">
      <c r="A36" s="15" t="s">
        <v>344</v>
      </c>
      <c r="B36" s="15" t="s">
        <v>79</v>
      </c>
      <c r="C36" s="16" t="s">
        <v>341</v>
      </c>
      <c r="D36" s="16" t="s">
        <v>345</v>
      </c>
      <c r="E36" s="15" t="s">
        <v>12</v>
      </c>
      <c r="F36" s="16"/>
      <c r="G36" s="16" t="s">
        <v>346</v>
      </c>
      <c r="H36" s="15"/>
    </row>
    <row r="37" customFormat="false" ht="15" hidden="false" customHeight="false" outlineLevel="0" collapsed="false">
      <c r="A37" s="15" t="s">
        <v>347</v>
      </c>
      <c r="B37" s="15" t="s">
        <v>79</v>
      </c>
      <c r="C37" s="16" t="s">
        <v>341</v>
      </c>
      <c r="D37" s="16" t="s">
        <v>348</v>
      </c>
      <c r="E37" s="15" t="s">
        <v>12</v>
      </c>
      <c r="F37" s="16"/>
      <c r="G37" s="16" t="s">
        <v>349</v>
      </c>
      <c r="H37" s="15"/>
    </row>
    <row r="38" customFormat="false" ht="15" hidden="false" customHeight="false" outlineLevel="0" collapsed="false">
      <c r="A38" s="15" t="s">
        <v>350</v>
      </c>
      <c r="B38" s="15" t="s">
        <v>79</v>
      </c>
      <c r="C38" s="16" t="s">
        <v>341</v>
      </c>
      <c r="D38" s="16" t="s">
        <v>351</v>
      </c>
      <c r="E38" s="15" t="s">
        <v>12</v>
      </c>
      <c r="F38" s="16"/>
      <c r="G38" s="16" t="s">
        <v>352</v>
      </c>
      <c r="H38" s="15"/>
    </row>
    <row r="39" customFormat="false" ht="15" hidden="false" customHeight="false" outlineLevel="0" collapsed="false">
      <c r="A39" s="15" t="s">
        <v>353</v>
      </c>
      <c r="B39" s="15" t="s">
        <v>79</v>
      </c>
      <c r="C39" s="16" t="s">
        <v>354</v>
      </c>
      <c r="D39" s="16" t="s">
        <v>355</v>
      </c>
      <c r="E39" s="15" t="s">
        <v>12</v>
      </c>
      <c r="F39" s="16"/>
      <c r="G39" s="16" t="s">
        <v>356</v>
      </c>
      <c r="H39" s="15"/>
    </row>
    <row r="40" customFormat="false" ht="15" hidden="false" customHeight="false" outlineLevel="0" collapsed="false">
      <c r="A40" s="15" t="s">
        <v>357</v>
      </c>
      <c r="B40" s="15" t="s">
        <v>79</v>
      </c>
      <c r="C40" s="16" t="s">
        <v>354</v>
      </c>
      <c r="D40" s="16" t="s">
        <v>358</v>
      </c>
      <c r="E40" s="15" t="s">
        <v>12</v>
      </c>
      <c r="F40" s="16"/>
      <c r="G40" s="16" t="s">
        <v>359</v>
      </c>
      <c r="H40" s="15"/>
    </row>
    <row r="41" customFormat="false" ht="15" hidden="false" customHeight="false" outlineLevel="0" collapsed="false">
      <c r="A41" s="15" t="s">
        <v>360</v>
      </c>
      <c r="B41" s="15" t="s">
        <v>79</v>
      </c>
      <c r="C41" s="16" t="s">
        <v>354</v>
      </c>
      <c r="D41" s="16" t="s">
        <v>361</v>
      </c>
      <c r="E41" s="15" t="s">
        <v>12</v>
      </c>
      <c r="F41" s="16"/>
      <c r="G41" s="16" t="s">
        <v>362</v>
      </c>
      <c r="H41" s="15"/>
    </row>
    <row r="42" customFormat="false" ht="15" hidden="false" customHeight="false" outlineLevel="0" collapsed="false">
      <c r="A42" s="15" t="s">
        <v>363</v>
      </c>
      <c r="B42" s="15" t="s">
        <v>79</v>
      </c>
      <c r="C42" s="16" t="s">
        <v>354</v>
      </c>
      <c r="D42" s="16" t="s">
        <v>364</v>
      </c>
      <c r="E42" s="15" t="s">
        <v>12</v>
      </c>
      <c r="F42" s="16"/>
      <c r="G42" s="16" t="s">
        <v>365</v>
      </c>
      <c r="H42" s="15"/>
    </row>
    <row r="43" customFormat="false" ht="15" hidden="false" customHeight="false" outlineLevel="0" collapsed="false">
      <c r="A43" s="15" t="s">
        <v>366</v>
      </c>
      <c r="B43" s="15" t="s">
        <v>79</v>
      </c>
      <c r="C43" s="16" t="s">
        <v>354</v>
      </c>
      <c r="D43" s="16" t="s">
        <v>367</v>
      </c>
      <c r="E43" s="15" t="s">
        <v>12</v>
      </c>
      <c r="F43" s="16"/>
      <c r="G43" s="16" t="s">
        <v>368</v>
      </c>
      <c r="H43" s="15"/>
    </row>
    <row r="44" customFormat="false" ht="15" hidden="false" customHeight="false" outlineLevel="0" collapsed="false">
      <c r="A44" s="15" t="s">
        <v>369</v>
      </c>
      <c r="B44" s="15" t="s">
        <v>79</v>
      </c>
      <c r="C44" s="16" t="s">
        <v>354</v>
      </c>
      <c r="D44" s="16" t="s">
        <v>370</v>
      </c>
      <c r="E44" s="15" t="s">
        <v>12</v>
      </c>
      <c r="F44" s="16"/>
      <c r="G44" s="16" t="s">
        <v>371</v>
      </c>
      <c r="H44" s="15"/>
    </row>
    <row r="45" customFormat="false" ht="15" hidden="false" customHeight="false" outlineLevel="0" collapsed="false">
      <c r="A45" s="15" t="s">
        <v>372</v>
      </c>
      <c r="B45" s="15" t="s">
        <v>79</v>
      </c>
      <c r="C45" s="16" t="s">
        <v>354</v>
      </c>
      <c r="D45" s="16" t="s">
        <v>373</v>
      </c>
      <c r="E45" s="15" t="s">
        <v>12</v>
      </c>
      <c r="F45" s="16"/>
      <c r="G45" s="16" t="s">
        <v>374</v>
      </c>
      <c r="H45" s="15"/>
    </row>
    <row r="46" customFormat="false" ht="15" hidden="false" customHeight="false" outlineLevel="0" collapsed="false">
      <c r="A46" s="15" t="s">
        <v>375</v>
      </c>
      <c r="B46" s="15" t="s">
        <v>79</v>
      </c>
      <c r="C46" s="16" t="s">
        <v>354</v>
      </c>
      <c r="D46" s="16" t="s">
        <v>376</v>
      </c>
      <c r="E46" s="15" t="s">
        <v>12</v>
      </c>
      <c r="F46" s="16"/>
      <c r="G46" s="16" t="s">
        <v>377</v>
      </c>
      <c r="H46" s="15"/>
    </row>
    <row r="47" customFormat="false" ht="15" hidden="false" customHeight="false" outlineLevel="0" collapsed="false">
      <c r="A47" s="15" t="s">
        <v>378</v>
      </c>
      <c r="B47" s="15" t="s">
        <v>79</v>
      </c>
      <c r="C47" s="16" t="s">
        <v>379</v>
      </c>
      <c r="D47" s="16" t="s">
        <v>380</v>
      </c>
      <c r="E47" s="15" t="s">
        <v>12</v>
      </c>
      <c r="F47" s="16"/>
      <c r="G47" s="16" t="s">
        <v>381</v>
      </c>
      <c r="H47" s="15"/>
    </row>
    <row r="48" customFormat="false" ht="15" hidden="false" customHeight="false" outlineLevel="0" collapsed="false">
      <c r="A48" s="15" t="s">
        <v>382</v>
      </c>
      <c r="B48" s="15" t="s">
        <v>79</v>
      </c>
      <c r="C48" s="16" t="s">
        <v>379</v>
      </c>
      <c r="D48" s="16" t="s">
        <v>383</v>
      </c>
      <c r="E48" s="15" t="s">
        <v>12</v>
      </c>
      <c r="F48" s="16"/>
      <c r="G48" s="16" t="s">
        <v>384</v>
      </c>
      <c r="H48" s="15"/>
    </row>
    <row r="49" customFormat="false" ht="15" hidden="false" customHeight="false" outlineLevel="0" collapsed="false">
      <c r="A49" s="15" t="s">
        <v>385</v>
      </c>
      <c r="B49" s="15" t="s">
        <v>79</v>
      </c>
      <c r="C49" s="16" t="s">
        <v>379</v>
      </c>
      <c r="D49" s="16" t="s">
        <v>386</v>
      </c>
      <c r="E49" s="15" t="s">
        <v>12</v>
      </c>
      <c r="F49" s="16"/>
      <c r="G49" s="16" t="s">
        <v>387</v>
      </c>
      <c r="H49" s="15"/>
    </row>
    <row r="50" customFormat="false" ht="15" hidden="false" customHeight="false" outlineLevel="0" collapsed="false">
      <c r="A50" s="15" t="s">
        <v>388</v>
      </c>
      <c r="B50" s="15" t="s">
        <v>79</v>
      </c>
      <c r="C50" s="16" t="s">
        <v>379</v>
      </c>
      <c r="D50" s="16" t="s">
        <v>389</v>
      </c>
      <c r="E50" s="15" t="s">
        <v>12</v>
      </c>
      <c r="F50" s="16"/>
      <c r="G50" s="16" t="s">
        <v>390</v>
      </c>
      <c r="H50" s="15"/>
    </row>
    <row r="51" customFormat="false" ht="15" hidden="false" customHeight="false" outlineLevel="0" collapsed="false">
      <c r="A51" s="15" t="s">
        <v>391</v>
      </c>
      <c r="B51" s="15" t="s">
        <v>79</v>
      </c>
      <c r="C51" s="16" t="s">
        <v>379</v>
      </c>
      <c r="D51" s="16" t="s">
        <v>392</v>
      </c>
      <c r="E51" s="15" t="s">
        <v>12</v>
      </c>
      <c r="F51" s="16"/>
      <c r="G51" s="16" t="s">
        <v>393</v>
      </c>
      <c r="H51" s="15"/>
    </row>
    <row r="52" customFormat="false" ht="15" hidden="false" customHeight="false" outlineLevel="0" collapsed="false">
      <c r="A52" s="15" t="s">
        <v>394</v>
      </c>
      <c r="B52" s="15" t="s">
        <v>79</v>
      </c>
      <c r="C52" s="16" t="s">
        <v>379</v>
      </c>
      <c r="D52" s="16" t="s">
        <v>395</v>
      </c>
      <c r="E52" s="15" t="s">
        <v>12</v>
      </c>
      <c r="F52" s="16"/>
      <c r="G52" s="16" t="s">
        <v>396</v>
      </c>
      <c r="H52" s="15"/>
    </row>
    <row r="53" customFormat="false" ht="15" hidden="false" customHeight="false" outlineLevel="0" collapsed="false">
      <c r="A53" s="15" t="s">
        <v>397</v>
      </c>
      <c r="B53" s="15" t="s">
        <v>79</v>
      </c>
      <c r="C53" s="16" t="s">
        <v>379</v>
      </c>
      <c r="D53" s="16" t="s">
        <v>398</v>
      </c>
      <c r="E53" s="15" t="s">
        <v>12</v>
      </c>
      <c r="F53" s="16"/>
      <c r="G53" s="16" t="s">
        <v>399</v>
      </c>
      <c r="H53" s="15"/>
    </row>
    <row r="54" customFormat="false" ht="15" hidden="false" customHeight="false" outlineLevel="0" collapsed="false">
      <c r="A54" s="15" t="s">
        <v>400</v>
      </c>
      <c r="B54" s="15" t="s">
        <v>79</v>
      </c>
      <c r="C54" s="16" t="s">
        <v>401</v>
      </c>
      <c r="D54" s="16" t="s">
        <v>402</v>
      </c>
      <c r="E54" s="15" t="s">
        <v>12</v>
      </c>
      <c r="F54" s="16"/>
      <c r="G54" s="16" t="s">
        <v>403</v>
      </c>
      <c r="H54" s="15"/>
    </row>
    <row r="55" customFormat="false" ht="15" hidden="false" customHeight="false" outlineLevel="0" collapsed="false">
      <c r="A55" s="15" t="s">
        <v>404</v>
      </c>
      <c r="B55" s="15" t="s">
        <v>79</v>
      </c>
      <c r="C55" s="16" t="s">
        <v>401</v>
      </c>
      <c r="D55" s="16" t="s">
        <v>405</v>
      </c>
      <c r="E55" s="15" t="s">
        <v>12</v>
      </c>
      <c r="F55" s="16"/>
      <c r="G55" s="16" t="s">
        <v>406</v>
      </c>
      <c r="H55" s="15"/>
    </row>
    <row r="56" customFormat="false" ht="15" hidden="false" customHeight="false" outlineLevel="0" collapsed="false">
      <c r="A56" s="15" t="s">
        <v>407</v>
      </c>
      <c r="B56" s="15" t="s">
        <v>79</v>
      </c>
      <c r="C56" s="16" t="s">
        <v>401</v>
      </c>
      <c r="D56" s="16" t="s">
        <v>408</v>
      </c>
      <c r="E56" s="15" t="s">
        <v>12</v>
      </c>
      <c r="F56" s="16"/>
      <c r="G56" s="16" t="s">
        <v>409</v>
      </c>
      <c r="H56" s="15"/>
    </row>
    <row r="57" customFormat="false" ht="15" hidden="false" customHeight="false" outlineLevel="0" collapsed="false">
      <c r="A57" s="15" t="s">
        <v>410</v>
      </c>
      <c r="B57" s="15" t="s">
        <v>79</v>
      </c>
      <c r="C57" s="16" t="s">
        <v>401</v>
      </c>
      <c r="D57" s="16" t="s">
        <v>411</v>
      </c>
      <c r="E57" s="15" t="s">
        <v>12</v>
      </c>
      <c r="F57" s="16"/>
      <c r="G57" s="16" t="s">
        <v>412</v>
      </c>
      <c r="H57" s="15"/>
    </row>
  </sheetData>
  <autoFilter ref="A1:H57"/>
  <conditionalFormatting sqref="E2:E500">
    <cfRule type="cellIs" priority="2" operator="equal" aboveAverage="0" equalAverage="0" bottom="0" percent="0" rank="0" text="" dxfId="8">
      <formula>"Sem achados"</formula>
    </cfRule>
    <cfRule type="cellIs" priority="3" operator="equal" aboveAverage="0" equalAverage="0" bottom="0" percent="0" rank="0" text="" dxfId="9">
      <formula>"Bug encontrado"</formula>
    </cfRule>
    <cfRule type="cellIs" priority="4" operator="equal" aboveAverage="0" equalAverage="0" bottom="0" percent="0" rank="0" text="" dxfId="10">
      <formula>"Pendente"</formula>
    </cfRule>
  </conditionalFormatting>
  <conditionalFormatting sqref="B2:B500">
    <cfRule type="cellIs" priority="5" operator="equal" aboveAverage="0" equalAverage="0" bottom="0" percent="0" rank="0" text="" dxfId="15">
      <formula>"UI"</formula>
    </cfRule>
    <cfRule type="cellIs" priority="6" operator="equal" aboveAverage="0" equalAverage="0" bottom="0" percent="0" rank="0" text="" dxfId="16">
      <formula>"API"</formula>
    </cfRule>
  </conditionalFormatting>
  <dataValidations count="1">
    <dataValidation allowBlank="false" errorStyle="stop" operator="between" showDropDown="false" showErrorMessage="false" showInputMessage="false" sqref="E2:E500" type="list">
      <formula1>"Pendente,Sem achados,Bug encontrado"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2026-10-08T22:16:50Z</dcterms:created>
  <dc:creator>openpyxl</dc:creator>
  <dc:description/>
  <dc:language>en-US</dc:language>
  <cp:lastModifiedBy/>
  <dcterms:modified xsi:type="dcterms:W3CDTF">2026-10-08T22:16:50Z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